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Calculator" sheetId="1" state="visible" r:id="rId3"/>
    <sheet name="Equipment Library" sheetId="2" state="visible" r:id="rId4"/>
    <sheet name="Pricing Schemes" sheetId="3" state="visible" r:id="rId5"/>
    <sheet name="Cost Scheme Det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<sst xmlns="http://schemas.openxmlformats.org/spreadsheetml/2006/main" count="278" uniqueCount="188">
  <si>
    <t xml:space="preserve">Photon Brothers — OpenSolar Pricing Calculator</t>
  </si>
  <si>
    <t xml:space="preserve">SYSTEM INPUTS</t>
  </si>
  <si>
    <t xml:space="preserve">System Size (kW)</t>
  </si>
  <si>
    <t xml:space="preserve">← Enter system size</t>
  </si>
  <si>
    <t xml:space="preserve">Number of Panels</t>
  </si>
  <si>
    <t xml:space="preserve">Number of Stories</t>
  </si>
  <si>
    <t xml:space="preserve">← 1, 2, or 3</t>
  </si>
  <si>
    <t xml:space="preserve">Roof Pitch (degrees)</t>
  </si>
  <si>
    <t xml:space="preserve">Roof Type</t>
  </si>
  <si>
    <t xml:space="preserve">Comp/Asphalt</t>
  </si>
  <si>
    <t xml:space="preserve">← Comp/Asphalt, Flat Concrete, Tile Clay, Tar/Gravel, Membrane EPDM</t>
  </si>
  <si>
    <t xml:space="preserve">Pricing Scheme</t>
  </si>
  <si>
    <t xml:space="preserve">Base</t>
  </si>
  <si>
    <t xml:space="preserve">← Base, Ventura, Bay Area, D&amp;R, Off Grid Homes</t>
  </si>
  <si>
    <t xml:space="preserve">Markup % (auto from scheme)</t>
  </si>
  <si>
    <t xml:space="preserve">EQUIPMENT SELECTION</t>
  </si>
  <si>
    <t xml:space="preserve">Component</t>
  </si>
  <si>
    <t xml:space="preserve">Selection</t>
  </si>
  <si>
    <t xml:space="preserve">Unit Cost</t>
  </si>
  <si>
    <t xml:space="preserve">Qty</t>
  </si>
  <si>
    <t xml:space="preserve">Total Cost</t>
  </si>
  <si>
    <t xml:space="preserve">Module</t>
  </si>
  <si>
    <t xml:space="preserve">SEG-440-BTD-BG</t>
  </si>
  <si>
    <t xml:space="preserve">Inverter</t>
  </si>
  <si>
    <t xml:space="preserve">IQ8MC-72-M-US [240V]</t>
  </si>
  <si>
    <t xml:space="preserve">Battery</t>
  </si>
  <si>
    <t xml:space="preserve">Tesla Powerwall 3</t>
  </si>
  <si>
    <t xml:space="preserve">Battery Labor Adj (per unit)</t>
  </si>
  <si>
    <t xml:space="preserve">Other Components (total)</t>
  </si>
  <si>
    <t xml:space="preserve">← e.g. Gateway</t>
  </si>
  <si>
    <t xml:space="preserve">SUBTOTAL: Component Costs</t>
  </si>
  <si>
    <t xml:space="preserve">COST SCHEME OVERHEAD (Costing Scheme Itemized)</t>
  </si>
  <si>
    <t xml:space="preserve">Line Item</t>
  </si>
  <si>
    <t xml:space="preserve">Rate</t>
  </si>
  <si>
    <t xml:space="preserve">Basis</t>
  </si>
  <si>
    <t xml:space="preserve">Watts</t>
  </si>
  <si>
    <t xml:space="preserve">Cost</t>
  </si>
  <si>
    <t xml:space="preserve">Racking</t>
  </si>
  <si>
    <t xml:space="preserve">/W</t>
  </si>
  <si>
    <t xml:space="preserve">BOS</t>
  </si>
  <si>
    <t xml:space="preserve">Labor</t>
  </si>
  <si>
    <t xml:space="preserve">Lead Gen (flat)</t>
  </si>
  <si>
    <t xml:space="preserve">/system</t>
  </si>
  <si>
    <t xml:space="preserve">Lead Gen (variable)</t>
  </si>
  <si>
    <t xml:space="preserve">Salary Allocation</t>
  </si>
  <si>
    <t xml:space="preserve">Pre-sale Software/Design</t>
  </si>
  <si>
    <t xml:space="preserve">Project Management</t>
  </si>
  <si>
    <t xml:space="preserve">Design Drawings</t>
  </si>
  <si>
    <t xml:space="preserve">Permit Costs</t>
  </si>
  <si>
    <t xml:space="preserve">Commission (5% of COGS+Labor)</t>
  </si>
  <si>
    <t xml:space="preserve">% of COGS+Labor</t>
  </si>
  <si>
    <t xml:space="preserve">SUBTOTAL: Overhead</t>
  </si>
  <si>
    <t xml:space="preserve">JOB DIFFICULTY ADDERS</t>
  </si>
  <si>
    <t xml:space="preserve">Condition</t>
  </si>
  <si>
    <t xml:space="preserve">Rate (/W)</t>
  </si>
  <si>
    <t xml:space="preserve">Applies?</t>
  </si>
  <si>
    <t xml:space="preserve">Two Stories ($0.05/W)</t>
  </si>
  <si>
    <t xml:space="preserve">Three+ Stories ($0.83/W)</t>
  </si>
  <si>
    <t xml:space="preserve">Steep Pitch 34°+ ($0.35/W)</t>
  </si>
  <si>
    <t xml:space="preserve">Very Steep Pitch 44°+ ($0.50/W)</t>
  </si>
  <si>
    <t xml:space="preserve">Tilt Rack ($0.35/W)</t>
  </si>
  <si>
    <t xml:space="preserve">NO</t>
  </si>
  <si>
    <t xml:space="preserve">Steep Rack 25°+ ($0.10/W)</t>
  </si>
  <si>
    <t xml:space="preserve">SUBTOTAL: Difficulty Adders</t>
  </si>
  <si>
    <t xml:space="preserve">ROOF TYPE ADDERS</t>
  </si>
  <si>
    <t xml:space="preserve">Per System</t>
  </si>
  <si>
    <t xml:space="preserve">Per Watt</t>
  </si>
  <si>
    <t xml:space="preserve">Comp/Asphalt Shingle</t>
  </si>
  <si>
    <t xml:space="preserve">Flat Concrete</t>
  </si>
  <si>
    <t xml:space="preserve">Tile Clay</t>
  </si>
  <si>
    <t xml:space="preserve">Tar &amp; Gravel / Bitumen</t>
  </si>
  <si>
    <t xml:space="preserve">Membrane EPDM</t>
  </si>
  <si>
    <t xml:space="preserve">SUBTOTAL: Roof Type Adders</t>
  </si>
  <si>
    <t xml:space="preserve">PRICING SUMMARY</t>
  </si>
  <si>
    <t xml:space="preserve">Total Component Costs</t>
  </si>
  <si>
    <t xml:space="preserve">Total Overhead</t>
  </si>
  <si>
    <t xml:space="preserve">Total Difficulty Adders</t>
  </si>
  <si>
    <t xml:space="preserve">Total Roof Type Adders</t>
  </si>
  <si>
    <t xml:space="preserve">TOTAL COGS</t>
  </si>
  <si>
    <t xml:space="preserve">Markup %</t>
  </si>
  <si>
    <t xml:space="preserve">Markup Amount</t>
  </si>
  <si>
    <t xml:space="preserve">CUSTOMER PRICE</t>
  </si>
  <si>
    <t xml:space="preserve">Price per Watt</t>
  </si>
  <si>
    <t xml:space="preserve">COGS per Watt</t>
  </si>
  <si>
    <t xml:space="preserve">Gross Margin</t>
  </si>
  <si>
    <t xml:space="preserve">MODULES</t>
  </si>
  <si>
    <t xml:space="preserve">Code</t>
  </si>
  <si>
    <t xml:space="preserve">Manufacturer</t>
  </si>
  <si>
    <t xml:space="preserve">SEG-420-BTD-BG</t>
  </si>
  <si>
    <t xml:space="preserve">SEG Solar</t>
  </si>
  <si>
    <t xml:space="preserve">SIL-400 HC+</t>
  </si>
  <si>
    <t xml:space="preserve">Silfab</t>
  </si>
  <si>
    <t xml:space="preserve">SIL-410 HC+</t>
  </si>
  <si>
    <t xml:space="preserve">REC360TP4 Black</t>
  </si>
  <si>
    <t xml:space="preserve">REC Solar</t>
  </si>
  <si>
    <t xml:space="preserve">SEG-430-BTD-BG</t>
  </si>
  <si>
    <t xml:space="preserve">HiN-T440NF(BK)</t>
  </si>
  <si>
    <t xml:space="preserve">Hyundai</t>
  </si>
  <si>
    <t xml:space="preserve">INVERTERS</t>
  </si>
  <si>
    <t xml:space="preserve">IQ8A-72-2-US</t>
  </si>
  <si>
    <t xml:space="preserve">Enphase</t>
  </si>
  <si>
    <t xml:space="preserve">IQ8P-72-2-INT</t>
  </si>
  <si>
    <t xml:space="preserve">IQ8X-80-M-US [240V]</t>
  </si>
  <si>
    <t xml:space="preserve">SE5000H-US [240V]</t>
  </si>
  <si>
    <t xml:space="preserve">SolarEdge</t>
  </si>
  <si>
    <t xml:space="preserve">SE6000H-US [240V]</t>
  </si>
  <si>
    <t xml:space="preserve">SE7600H-US [240V]</t>
  </si>
  <si>
    <t xml:space="preserve">SE10000H-US [240V]</t>
  </si>
  <si>
    <t xml:space="preserve">SE11400H-US [240V]</t>
  </si>
  <si>
    <t xml:space="preserve">Tesla 3.8 kW Inverter</t>
  </si>
  <si>
    <t xml:space="preserve">Tesla</t>
  </si>
  <si>
    <t xml:space="preserve">Tesla 5.0 kW Inverter</t>
  </si>
  <si>
    <t xml:space="preserve">Tesla 7.6kW Inverter</t>
  </si>
  <si>
    <t xml:space="preserve">S5-GC30K</t>
  </si>
  <si>
    <t xml:space="preserve">SOLIS</t>
  </si>
  <si>
    <t xml:space="preserve">Solis-100K-5G-PRO</t>
  </si>
  <si>
    <t xml:space="preserve">30K-3P-208V</t>
  </si>
  <si>
    <t xml:space="preserve">Sol-Ark</t>
  </si>
  <si>
    <t xml:space="preserve">30K-3P-208V-N</t>
  </si>
  <si>
    <t xml:space="preserve">60K-3P-480V-N</t>
  </si>
  <si>
    <t xml:space="preserve">BATTERIES</t>
  </si>
  <si>
    <t xml:space="preserve">Tier 1 Cost</t>
  </si>
  <si>
    <t xml:space="preserve">kWh</t>
  </si>
  <si>
    <t xml:space="preserve">Tier 2+ Cost</t>
  </si>
  <si>
    <t xml:space="preserve">Labor Adj</t>
  </si>
  <si>
    <t xml:space="preserve">Tesla PW3 Expansion Pack</t>
  </si>
  <si>
    <t xml:space="preserve">Enphase IQ Battery 10</t>
  </si>
  <si>
    <t xml:space="preserve">ACCESSORIES</t>
  </si>
  <si>
    <t xml:space="preserve">Notes</t>
  </si>
  <si>
    <t xml:space="preserve">Gen 3 Wall Connector</t>
  </si>
  <si>
    <t xml:space="preserve">EV Charger</t>
  </si>
  <si>
    <t xml:space="preserve">Tesla Backup Switch</t>
  </si>
  <si>
    <t xml:space="preserve">$0 cost — bundled with PW3</t>
  </si>
  <si>
    <t xml:space="preserve">Scheme</t>
  </si>
  <si>
    <t xml:space="preserve">Auto-Apply</t>
  </si>
  <si>
    <t xml:space="preserve">Description</t>
  </si>
  <si>
    <t xml:space="preserve">Yes</t>
  </si>
  <si>
    <t xml:space="preserve">Standard CO pricing</t>
  </si>
  <si>
    <t xml:space="preserve">Ventura</t>
  </si>
  <si>
    <t xml:space="preserve">No</t>
  </si>
  <si>
    <t xml:space="preserve">Ventura County, CA</t>
  </si>
  <si>
    <t xml:space="preserve">Bay Area</t>
  </si>
  <si>
    <t xml:space="preserve">Bay Area, CA</t>
  </si>
  <si>
    <t xml:space="preserve">D&amp;R</t>
  </si>
  <si>
    <t xml:space="preserve">De-rate &amp; re-roof</t>
  </si>
  <si>
    <t xml:space="preserve">Off Grid Homes</t>
  </si>
  <si>
    <t xml:space="preserve">Off-grid systems</t>
  </si>
  <si>
    <t xml:space="preserve">Costing Scheme Itemized — Full Rate Card</t>
  </si>
  <si>
    <t xml:space="preserve">COGS</t>
  </si>
  <si>
    <t xml:space="preserve">$0.15</t>
  </si>
  <si>
    <t xml:space="preserve">$0.55</t>
  </si>
  <si>
    <t xml:space="preserve">Lead Gen</t>
  </si>
  <si>
    <t xml:space="preserve">$300 + $0.10/W</t>
  </si>
  <si>
    <t xml:space="preserve">/system + /W</t>
  </si>
  <si>
    <t xml:space="preserve">$100</t>
  </si>
  <si>
    <t xml:space="preserve">$0.01</t>
  </si>
  <si>
    <t xml:space="preserve">Commission</t>
  </si>
  <si>
    <t xml:space="preserve">5%</t>
  </si>
  <si>
    <t xml:space="preserve">of COGS + Labor</t>
  </si>
  <si>
    <t xml:space="preserve">$1,000</t>
  </si>
  <si>
    <t xml:space="preserve">$350</t>
  </si>
  <si>
    <t xml:space="preserve">$500</t>
  </si>
  <si>
    <t xml:space="preserve">JOB DIFFICULTY</t>
  </si>
  <si>
    <t xml:space="preserve">Two Stories</t>
  </si>
  <si>
    <t xml:space="preserve">$0.05</t>
  </si>
  <si>
    <t xml:space="preserve">Three+ Stories</t>
  </si>
  <si>
    <t xml:space="preserve">$0.83</t>
  </si>
  <si>
    <t xml:space="preserve">Steep Pitch (34°+)</t>
  </si>
  <si>
    <t xml:space="preserve">$0.35</t>
  </si>
  <si>
    <t xml:space="preserve">Very Steep Pitch (44°+)</t>
  </si>
  <si>
    <t xml:space="preserve">$0.50</t>
  </si>
  <si>
    <t xml:space="preserve">Tilt Rack</t>
  </si>
  <si>
    <t xml:space="preserve">Steep Rack (25°+)</t>
  </si>
  <si>
    <t xml:space="preserve">$0.10</t>
  </si>
  <si>
    <t xml:space="preserve">$0</t>
  </si>
  <si>
    <t xml:space="preserve">—</t>
  </si>
  <si>
    <t xml:space="preserve">$3,500 + $0.80/W</t>
  </si>
  <si>
    <t xml:space="preserve">SLOPE THRESHOLDS</t>
  </si>
  <si>
    <t xml:space="preserve">Steep Pitch starts at</t>
  </si>
  <si>
    <t xml:space="preserve">34°</t>
  </si>
  <si>
    <t xml:space="preserve">Very Steep Pitch starts at</t>
  </si>
  <si>
    <t xml:space="preserve">44°</t>
  </si>
  <si>
    <t xml:space="preserve">Moderate Rack Slope</t>
  </si>
  <si>
    <t xml:space="preserve">10°</t>
  </si>
  <si>
    <t xml:space="preserve">Steep Rack Slope</t>
  </si>
  <si>
    <t xml:space="preserve">25°</t>
  </si>
  <si>
    <t xml:space="preserve">Very Steep Rack Slope</t>
  </si>
  <si>
    <t xml:space="preserve">30°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</si>
</sst>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#,##0"/>
    <numFmt numFmtId="167" formatCode="0.0%"/>
    <numFmt numFmtId="168" formatCode="\$#,##0;&quot;($&quot;#,##0\);\-"/>
    <numFmt numFmtId="169" formatCode="\$#,##0.00;&quot;($&quot;#,##0.00\);\-"/>
    <numFmt numFmtId="170" formatCode="\$#,##0.00"/>
    <numFmt numFmtId="171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4472C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6"/>
      <color rgb="FF2F549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7030A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5B9BD5"/>
        <bgColor rgb="FF4472C4"/>
      </patternFill>
    </fill>
    <fill>
      <patternFill patternType="solid">
        <fgColor rgb="FF2F5496"/>
        <bgColor rgb="FF4472C4"/>
      </patternFill>
    </fill>
    <fill>
      <patternFill patternType="solid">
        <fgColor rgb="FFD6E4F0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7030A0"/>
      <rgbColor rgb="FFF2F2F2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8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2"/>
    <col collapsed="false" customWidth="true" hidden="false" outlineLevel="0" max="5" min="3" style="1" width="1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</row>
    <row r="3" customFormat="false" ht="18" hidden="false" customHeight="true" outlineLevel="0" collapsed="false">
      <c r="A3" s="3" t="s">
        <v>1</v>
      </c>
      <c r="B3" s="3"/>
      <c r="C3" s="3"/>
      <c r="D3" s="3"/>
      <c r="E3" s="3"/>
    </row>
    <row r="4" customFormat="false" ht="18" hidden="false" customHeight="true" outlineLevel="0" collapsed="false">
      <c r="A4" s="4" t="s">
        <v>2</v>
      </c>
      <c r="B4" s="5" t="n">
        <v>10</v>
      </c>
      <c r="C4" s="6" t="s">
        <v>3</v>
      </c>
    </row>
    <row r="5" customFormat="false" ht="18" hidden="false" customHeight="true" outlineLevel="0" collapsed="false">
      <c r="A5" s="4" t="s">
        <v>4</v>
      </c>
      <c r="B5" s="7" t="n">
        <v>23</v>
      </c>
    </row>
    <row r="6" customFormat="false" ht="18" hidden="false" customHeight="true" outlineLevel="0" collapsed="false">
      <c r="A6" s="4" t="s">
        <v>5</v>
      </c>
      <c r="B6" s="7" t="n">
        <v>1</v>
      </c>
      <c r="C6" s="6" t="s">
        <v>6</v>
      </c>
    </row>
    <row r="7" customFormat="false" ht="18" hidden="false" customHeight="true" outlineLevel="0" collapsed="false">
      <c r="A7" s="4" t="s">
        <v>7</v>
      </c>
      <c r="B7" s="7" t="n">
        <v>20</v>
      </c>
    </row>
    <row r="8" customFormat="false" ht="18" hidden="false" customHeight="true" outlineLevel="0" collapsed="false">
      <c r="A8" s="4" t="s">
        <v>8</v>
      </c>
      <c r="B8" s="8" t="s">
        <v>9</v>
      </c>
      <c r="C8" s="9" t="s">
        <v>10</v>
      </c>
    </row>
    <row r="9" customFormat="false" ht="18" hidden="false" customHeight="true" outlineLevel="0" collapsed="false">
      <c r="A9" s="4" t="s">
        <v>11</v>
      </c>
      <c r="B9" s="8" t="s">
        <v>12</v>
      </c>
      <c r="C9" s="9" t="s">
        <v>13</v>
      </c>
    </row>
    <row r="10" customFormat="false" ht="18" hidden="false" customHeight="true" outlineLevel="0" collapsed="false">
      <c r="A10" s="4" t="s">
        <v>14</v>
      </c>
      <c r="B10" s="10" t="n">
        <f aca="false">VLOOKUP(B9,'Pricing Schemes'!A2:B6,2,FALSE())</f>
        <v>0.4</v>
      </c>
    </row>
    <row r="12" customFormat="false" ht="18" hidden="false" customHeight="true" outlineLevel="0" collapsed="false">
      <c r="A12" s="11" t="s">
        <v>15</v>
      </c>
      <c r="B12" s="11"/>
      <c r="C12" s="11"/>
      <c r="D12" s="11"/>
      <c r="E12" s="11"/>
    </row>
    <row r="13" customFormat="false" ht="18" hidden="false" customHeight="true" outlineLevel="0" collapsed="false">
      <c r="A13" s="12" t="s">
        <v>16</v>
      </c>
      <c r="B13" s="12" t="s">
        <v>17</v>
      </c>
      <c r="C13" s="12" t="s">
        <v>18</v>
      </c>
      <c r="D13" s="12" t="s">
        <v>19</v>
      </c>
      <c r="E13" s="12" t="s">
        <v>20</v>
      </c>
    </row>
    <row r="14" customFormat="false" ht="18" hidden="false" customHeight="true" outlineLevel="0" collapsed="false">
      <c r="A14" s="13" t="s">
        <v>21</v>
      </c>
      <c r="B14" s="8" t="s">
        <v>22</v>
      </c>
      <c r="C14" s="14" t="n">
        <f aca="false">IFERROR(VLOOKUP(B14,'Equipment Library'!A3:C9,3,FALSE()),0)</f>
        <v>305</v>
      </c>
      <c r="D14" s="15" t="n">
        <f aca="false">B5</f>
        <v>23</v>
      </c>
      <c r="E14" s="16" t="n">
        <f aca="false">C14*D14</f>
        <v>7015</v>
      </c>
    </row>
    <row r="15" customFormat="false" ht="18" hidden="false" customHeight="true" outlineLevel="0" collapsed="false">
      <c r="A15" s="13" t="s">
        <v>23</v>
      </c>
      <c r="B15" s="8" t="s">
        <v>24</v>
      </c>
      <c r="C15" s="14" t="n">
        <f aca="false">IFERROR(VLOOKUP(B15,'Equipment Library'!A13:C29,3,FALSE()),0)</f>
        <v>160</v>
      </c>
      <c r="D15" s="7" t="n">
        <v>23</v>
      </c>
      <c r="E15" s="16" t="n">
        <f aca="false">C15*D15</f>
        <v>3680</v>
      </c>
    </row>
    <row r="16" customFormat="false" ht="18" hidden="false" customHeight="true" outlineLevel="0" collapsed="false">
      <c r="A16" s="13" t="s">
        <v>25</v>
      </c>
      <c r="B16" s="8" t="s">
        <v>26</v>
      </c>
      <c r="C16" s="14" t="n">
        <f aca="false">IFERROR(VLOOKUP(B16,'Equipment Library'!A33:E35,3,FALSE()),0)</f>
        <v>7700</v>
      </c>
      <c r="D16" s="7" t="n">
        <v>1</v>
      </c>
      <c r="E16" s="16" t="n">
        <f aca="false">C16*D16</f>
        <v>7700</v>
      </c>
    </row>
    <row r="17" customFormat="false" ht="18" hidden="false" customHeight="true" outlineLevel="0" collapsed="false">
      <c r="A17" s="13" t="s">
        <v>27</v>
      </c>
      <c r="B17" s="17"/>
      <c r="C17" s="14" t="n">
        <f aca="false">IFERROR(VLOOKUP(B16,'Equipment Library'!A33:F35,6,FALSE()),0)</f>
        <v>2600</v>
      </c>
      <c r="D17" s="15" t="n">
        <f aca="false">D16</f>
        <v>1</v>
      </c>
      <c r="E17" s="16" t="n">
        <f aca="false">C17*D17</f>
        <v>2600</v>
      </c>
    </row>
    <row r="18" customFormat="false" ht="18" hidden="false" customHeight="true" outlineLevel="0" collapsed="false">
      <c r="A18" s="13" t="s">
        <v>28</v>
      </c>
      <c r="B18" s="17"/>
      <c r="C18" s="18" t="n">
        <v>1800</v>
      </c>
      <c r="D18" s="19" t="s">
        <v>29</v>
      </c>
      <c r="E18" s="16" t="n">
        <f aca="false">C18</f>
        <v>1800</v>
      </c>
    </row>
    <row r="19" customFormat="false" ht="18" hidden="false" customHeight="true" outlineLevel="0" collapsed="false">
      <c r="A19" s="20" t="s">
        <v>30</v>
      </c>
      <c r="B19" s="21"/>
      <c r="C19" s="21"/>
      <c r="D19" s="21"/>
      <c r="E19" s="22" t="n">
        <f aca="false">SUM(E14:E18)</f>
        <v>22795</v>
      </c>
    </row>
    <row r="21" customFormat="false" ht="18" hidden="false" customHeight="true" outlineLevel="0" collapsed="false">
      <c r="A21" s="11" t="s">
        <v>31</v>
      </c>
      <c r="B21" s="11"/>
      <c r="C21" s="11"/>
      <c r="D21" s="11"/>
      <c r="E21" s="11"/>
    </row>
    <row r="22" customFormat="false" ht="18" hidden="false" customHeight="true" outlineLevel="0" collapsed="false">
      <c r="A22" s="12" t="s">
        <v>32</v>
      </c>
      <c r="B22" s="12" t="s">
        <v>33</v>
      </c>
      <c r="C22" s="12" t="s">
        <v>34</v>
      </c>
      <c r="D22" s="12" t="s">
        <v>35</v>
      </c>
      <c r="E22" s="12" t="s">
        <v>36</v>
      </c>
    </row>
    <row r="23" customFormat="false" ht="18" hidden="false" customHeight="true" outlineLevel="0" collapsed="false">
      <c r="A23" s="13" t="s">
        <v>37</v>
      </c>
      <c r="B23" s="23" t="n">
        <v>0.15</v>
      </c>
      <c r="C23" s="13" t="s">
        <v>38</v>
      </c>
      <c r="D23" s="24" t="n">
        <f aca="false">B4*1000</f>
        <v>10000</v>
      </c>
      <c r="E23" s="16" t="n">
        <f aca="false">B23*D23</f>
        <v>1500</v>
      </c>
    </row>
    <row r="24" customFormat="false" ht="18" hidden="false" customHeight="true" outlineLevel="0" collapsed="false">
      <c r="A24" s="13" t="s">
        <v>39</v>
      </c>
      <c r="B24" s="23" t="n">
        <v>0.15</v>
      </c>
      <c r="C24" s="13" t="s">
        <v>38</v>
      </c>
      <c r="D24" s="24" t="n">
        <f aca="false">B4*1000</f>
        <v>10000</v>
      </c>
      <c r="E24" s="16" t="n">
        <f aca="false">B24*D24</f>
        <v>1500</v>
      </c>
    </row>
    <row r="25" customFormat="false" ht="18" hidden="false" customHeight="true" outlineLevel="0" collapsed="false">
      <c r="A25" s="13" t="s">
        <v>40</v>
      </c>
      <c r="B25" s="23" t="n">
        <v>0.55</v>
      </c>
      <c r="C25" s="13" t="s">
        <v>38</v>
      </c>
      <c r="D25" s="24" t="n">
        <f aca="false">B4*1000</f>
        <v>10000</v>
      </c>
      <c r="E25" s="16" t="n">
        <f aca="false">B25*D25</f>
        <v>5500</v>
      </c>
    </row>
    <row r="26" customFormat="false" ht="18" hidden="false" customHeight="true" outlineLevel="0" collapsed="false">
      <c r="A26" s="13" t="s">
        <v>41</v>
      </c>
      <c r="B26" s="23" t="n">
        <v>300</v>
      </c>
      <c r="C26" s="13" t="s">
        <v>42</v>
      </c>
      <c r="D26" s="24"/>
      <c r="E26" s="16" t="n">
        <f aca="false">B26</f>
        <v>300</v>
      </c>
    </row>
    <row r="27" customFormat="false" ht="18" hidden="false" customHeight="true" outlineLevel="0" collapsed="false">
      <c r="A27" s="13" t="s">
        <v>43</v>
      </c>
      <c r="B27" s="23" t="n">
        <v>0.1</v>
      </c>
      <c r="C27" s="13" t="s">
        <v>38</v>
      </c>
      <c r="D27" s="24" t="n">
        <f aca="false">B4*1000</f>
        <v>10000</v>
      </c>
      <c r="E27" s="16" t="n">
        <f aca="false">B27*D27</f>
        <v>1000</v>
      </c>
    </row>
    <row r="28" customFormat="false" ht="18" hidden="false" customHeight="true" outlineLevel="0" collapsed="false">
      <c r="A28" s="13" t="s">
        <v>44</v>
      </c>
      <c r="B28" s="23" t="n">
        <v>100</v>
      </c>
      <c r="C28" s="13" t="s">
        <v>42</v>
      </c>
      <c r="D28" s="24"/>
      <c r="E28" s="16" t="n">
        <f aca="false">B28</f>
        <v>100</v>
      </c>
    </row>
    <row r="29" customFormat="false" ht="18" hidden="false" customHeight="true" outlineLevel="0" collapsed="false">
      <c r="A29" s="13" t="s">
        <v>45</v>
      </c>
      <c r="B29" s="23" t="n">
        <v>0.01</v>
      </c>
      <c r="C29" s="13" t="s">
        <v>38</v>
      </c>
      <c r="D29" s="24" t="n">
        <f aca="false">B4*1000</f>
        <v>10000</v>
      </c>
      <c r="E29" s="16" t="n">
        <f aca="false">B29*D29</f>
        <v>100</v>
      </c>
    </row>
    <row r="30" customFormat="false" ht="18" hidden="false" customHeight="true" outlineLevel="0" collapsed="false">
      <c r="A30" s="13" t="s">
        <v>46</v>
      </c>
      <c r="B30" s="23" t="n">
        <v>1000</v>
      </c>
      <c r="C30" s="13" t="s">
        <v>42</v>
      </c>
      <c r="D30" s="24"/>
      <c r="E30" s="16" t="n">
        <f aca="false">B30</f>
        <v>1000</v>
      </c>
    </row>
    <row r="31" customFormat="false" ht="18" hidden="false" customHeight="true" outlineLevel="0" collapsed="false">
      <c r="A31" s="13" t="s">
        <v>47</v>
      </c>
      <c r="B31" s="23" t="n">
        <v>350</v>
      </c>
      <c r="C31" s="13" t="s">
        <v>42</v>
      </c>
      <c r="D31" s="24"/>
      <c r="E31" s="16" t="n">
        <f aca="false">B31</f>
        <v>350</v>
      </c>
    </row>
    <row r="32" customFormat="false" ht="18" hidden="false" customHeight="true" outlineLevel="0" collapsed="false">
      <c r="A32" s="13" t="s">
        <v>48</v>
      </c>
      <c r="B32" s="23" t="n">
        <v>500</v>
      </c>
      <c r="C32" s="13" t="s">
        <v>42</v>
      </c>
      <c r="D32" s="24"/>
      <c r="E32" s="16" t="n">
        <f aca="false">B32</f>
        <v>500</v>
      </c>
    </row>
    <row r="33" customFormat="false" ht="18" hidden="false" customHeight="true" outlineLevel="0" collapsed="false">
      <c r="A33" s="13" t="s">
        <v>49</v>
      </c>
      <c r="B33" s="25" t="n">
        <v>0.05</v>
      </c>
      <c r="C33" s="13" t="s">
        <v>50</v>
      </c>
      <c r="D33" s="17"/>
      <c r="E33" s="16" t="n">
        <f aca="false">B33*(E19+E23+E24+E25)</f>
        <v>1564.75</v>
      </c>
    </row>
    <row r="34" customFormat="false" ht="18" hidden="false" customHeight="true" outlineLevel="0" collapsed="false">
      <c r="A34" s="20" t="s">
        <v>51</v>
      </c>
      <c r="B34" s="21"/>
      <c r="C34" s="21"/>
      <c r="D34" s="21"/>
      <c r="E34" s="22" t="n">
        <f aca="false">SUM(E23:E33)</f>
        <v>13414.75</v>
      </c>
    </row>
    <row r="36" customFormat="false" ht="18" hidden="false" customHeight="true" outlineLevel="0" collapsed="false">
      <c r="A36" s="11" t="s">
        <v>52</v>
      </c>
      <c r="B36" s="11"/>
      <c r="C36" s="11"/>
      <c r="D36" s="11"/>
      <c r="E36" s="11"/>
    </row>
    <row r="37" customFormat="false" ht="18" hidden="false" customHeight="true" outlineLevel="0" collapsed="false">
      <c r="A37" s="12" t="s">
        <v>53</v>
      </c>
      <c r="B37" s="12" t="s">
        <v>54</v>
      </c>
      <c r="C37" s="12" t="s">
        <v>55</v>
      </c>
      <c r="D37" s="12" t="s">
        <v>35</v>
      </c>
      <c r="E37" s="12" t="s">
        <v>36</v>
      </c>
    </row>
    <row r="38" customFormat="false" ht="18" hidden="false" customHeight="true" outlineLevel="0" collapsed="false">
      <c r="A38" s="13" t="s">
        <v>56</v>
      </c>
      <c r="B38" s="23" t="n">
        <v>0.05</v>
      </c>
      <c r="C38" s="26" t="str">
        <f aca="false">IF(B6=2,"YES","NO")</f>
        <v>NO</v>
      </c>
      <c r="D38" s="24" t="n">
        <f aca="false">B4*1000</f>
        <v>10000</v>
      </c>
      <c r="E38" s="16" t="n">
        <f aca="false">IF(C38="YES",B38*D38,0)</f>
        <v>0</v>
      </c>
    </row>
    <row r="39" customFormat="false" ht="18" hidden="false" customHeight="true" outlineLevel="0" collapsed="false">
      <c r="A39" s="13" t="s">
        <v>57</v>
      </c>
      <c r="B39" s="23" t="n">
        <v>0.83</v>
      </c>
      <c r="C39" s="26" t="str">
        <f aca="false">IF(B6&gt;=3,"YES","NO")</f>
        <v>NO</v>
      </c>
      <c r="D39" s="24" t="n">
        <f aca="false">B4*1000</f>
        <v>10000</v>
      </c>
      <c r="E39" s="16" t="n">
        <f aca="false">IF(C39="YES",B39*D39,0)</f>
        <v>0</v>
      </c>
    </row>
    <row r="40" customFormat="false" ht="18" hidden="false" customHeight="true" outlineLevel="0" collapsed="false">
      <c r="A40" s="13" t="s">
        <v>58</v>
      </c>
      <c r="B40" s="23" t="n">
        <v>0.35</v>
      </c>
      <c r="C40" s="26" t="str">
        <f aca="false">IF(AND(B7&gt;=34,B7&lt;44),"YES","NO")</f>
        <v>NO</v>
      </c>
      <c r="D40" s="24" t="n">
        <f aca="false">B4*1000</f>
        <v>10000</v>
      </c>
      <c r="E40" s="16" t="n">
        <f aca="false">IF(C40="YES",B40*D40,0)</f>
        <v>0</v>
      </c>
    </row>
    <row r="41" customFormat="false" ht="18" hidden="false" customHeight="true" outlineLevel="0" collapsed="false">
      <c r="A41" s="13" t="s">
        <v>59</v>
      </c>
      <c r="B41" s="23" t="n">
        <v>0.5</v>
      </c>
      <c r="C41" s="26" t="str">
        <f aca="false">IF(B7&gt;=44,"YES","NO")</f>
        <v>NO</v>
      </c>
      <c r="D41" s="24" t="n">
        <f aca="false">B4*1000</f>
        <v>10000</v>
      </c>
      <c r="E41" s="16" t="n">
        <f aca="false">IF(C41="YES",B41*D41,0)</f>
        <v>0</v>
      </c>
    </row>
    <row r="42" customFormat="false" ht="18" hidden="false" customHeight="true" outlineLevel="0" collapsed="false">
      <c r="A42" s="13" t="s">
        <v>60</v>
      </c>
      <c r="B42" s="23" t="n">
        <v>0.35</v>
      </c>
      <c r="C42" s="26" t="s">
        <v>61</v>
      </c>
      <c r="D42" s="24" t="n">
        <f aca="false">B4*1000</f>
        <v>10000</v>
      </c>
      <c r="E42" s="16" t="n">
        <f aca="false">IF(C42="YES",B42*D42,0)</f>
        <v>0</v>
      </c>
    </row>
    <row r="43" customFormat="false" ht="18" hidden="false" customHeight="true" outlineLevel="0" collapsed="false">
      <c r="A43" s="13" t="s">
        <v>62</v>
      </c>
      <c r="B43" s="23" t="n">
        <v>0.1</v>
      </c>
      <c r="C43" s="26" t="s">
        <v>61</v>
      </c>
      <c r="D43" s="24" t="n">
        <f aca="false">B4*1000</f>
        <v>10000</v>
      </c>
      <c r="E43" s="16" t="n">
        <f aca="false">IF(C43="YES",B43*D43,0)</f>
        <v>0</v>
      </c>
    </row>
    <row r="44" customFormat="false" ht="18" hidden="false" customHeight="true" outlineLevel="0" collapsed="false">
      <c r="A44" s="20" t="s">
        <v>63</v>
      </c>
      <c r="B44" s="21"/>
      <c r="C44" s="21"/>
      <c r="D44" s="21"/>
      <c r="E44" s="22" t="n">
        <f aca="false">SUM(E38:E43)</f>
        <v>0</v>
      </c>
    </row>
    <row r="46" customFormat="false" ht="18" hidden="false" customHeight="true" outlineLevel="0" collapsed="false">
      <c r="A46" s="11" t="s">
        <v>64</v>
      </c>
      <c r="B46" s="11"/>
      <c r="C46" s="11"/>
      <c r="D46" s="11"/>
      <c r="E46" s="11"/>
    </row>
    <row r="47" customFormat="false" ht="18" hidden="false" customHeight="true" outlineLevel="0" collapsed="false">
      <c r="A47" s="12" t="s">
        <v>8</v>
      </c>
      <c r="B47" s="12" t="s">
        <v>65</v>
      </c>
      <c r="C47" s="12" t="s">
        <v>66</v>
      </c>
      <c r="D47" s="12" t="s">
        <v>55</v>
      </c>
      <c r="E47" s="12" t="s">
        <v>36</v>
      </c>
    </row>
    <row r="48" customFormat="false" ht="18" hidden="false" customHeight="true" outlineLevel="0" collapsed="false">
      <c r="A48" s="13" t="s">
        <v>67</v>
      </c>
      <c r="B48" s="16" t="n">
        <v>0</v>
      </c>
      <c r="C48" s="23" t="n">
        <v>0</v>
      </c>
      <c r="D48" s="26" t="str">
        <f aca="false">IF(B8="Comp/Asphalt","YES","NO")</f>
        <v>YES</v>
      </c>
      <c r="E48" s="16" t="n">
        <f aca="false">IF(D48="YES",B48+C48*B4*1000,0)</f>
        <v>0</v>
      </c>
    </row>
    <row r="49" customFormat="false" ht="18" hidden="false" customHeight="true" outlineLevel="0" collapsed="false">
      <c r="A49" s="13" t="s">
        <v>68</v>
      </c>
      <c r="B49" s="16" t="n">
        <v>0</v>
      </c>
      <c r="C49" s="23" t="n">
        <v>0.35</v>
      </c>
      <c r="D49" s="26" t="str">
        <f aca="false">IF(B8="Flat Concrete","YES","NO")</f>
        <v>NO</v>
      </c>
      <c r="E49" s="16" t="n">
        <f aca="false">IF(D49="YES",B49+C49*B4*1000,0)</f>
        <v>0</v>
      </c>
    </row>
    <row r="50" customFormat="false" ht="18" hidden="false" customHeight="true" outlineLevel="0" collapsed="false">
      <c r="A50" s="13" t="s">
        <v>69</v>
      </c>
      <c r="B50" s="16" t="n">
        <v>3500</v>
      </c>
      <c r="C50" s="23" t="n">
        <v>0.8</v>
      </c>
      <c r="D50" s="26" t="str">
        <f aca="false">IF(B8="Tile Clay","YES","NO")</f>
        <v>NO</v>
      </c>
      <c r="E50" s="16" t="n">
        <f aca="false">IF(D50="YES",B50+C50*B4*1000,0)</f>
        <v>0</v>
      </c>
    </row>
    <row r="51" customFormat="false" ht="18" hidden="false" customHeight="true" outlineLevel="0" collapsed="false">
      <c r="A51" s="13" t="s">
        <v>70</v>
      </c>
      <c r="B51" s="16" t="n">
        <v>0</v>
      </c>
      <c r="C51" s="23" t="n">
        <v>0.35</v>
      </c>
      <c r="D51" s="26" t="str">
        <f aca="false">IF(B8="Tar/Gravel","YES","NO")</f>
        <v>NO</v>
      </c>
      <c r="E51" s="16" t="n">
        <f aca="false">IF(D51="YES",B51+C51*B4*1000,0)</f>
        <v>0</v>
      </c>
    </row>
    <row r="52" customFormat="false" ht="18" hidden="false" customHeight="true" outlineLevel="0" collapsed="false">
      <c r="A52" s="13" t="s">
        <v>71</v>
      </c>
      <c r="B52" s="16" t="n">
        <v>0</v>
      </c>
      <c r="C52" s="23" t="n">
        <v>0.35</v>
      </c>
      <c r="D52" s="26" t="str">
        <f aca="false">IF(B8="Membrane EPDM","YES","NO")</f>
        <v>NO</v>
      </c>
      <c r="E52" s="16" t="n">
        <f aca="false">IF(D52="YES",B52+C52*B4*1000,0)</f>
        <v>0</v>
      </c>
    </row>
    <row r="53" customFormat="false" ht="18" hidden="false" customHeight="true" outlineLevel="0" collapsed="false">
      <c r="A53" s="20" t="s">
        <v>72</v>
      </c>
      <c r="B53" s="21"/>
      <c r="C53" s="21"/>
      <c r="D53" s="21"/>
      <c r="E53" s="22" t="n">
        <f aca="false">SUM(E48:E52)</f>
        <v>0</v>
      </c>
    </row>
    <row r="55" customFormat="false" ht="18" hidden="false" customHeight="true" outlineLevel="0" collapsed="false">
      <c r="A55" s="27" t="s">
        <v>73</v>
      </c>
      <c r="B55" s="27"/>
      <c r="C55" s="27"/>
      <c r="D55" s="27"/>
      <c r="E55" s="27"/>
    </row>
    <row r="56" customFormat="false" ht="18" hidden="false" customHeight="true" outlineLevel="0" collapsed="false">
      <c r="A56" s="13" t="s">
        <v>74</v>
      </c>
      <c r="E56" s="16" t="n">
        <f aca="false">E19</f>
        <v>22795</v>
      </c>
    </row>
    <row r="57" customFormat="false" ht="18" hidden="false" customHeight="true" outlineLevel="0" collapsed="false">
      <c r="A57" s="13" t="s">
        <v>75</v>
      </c>
      <c r="E57" s="16" t="n">
        <f aca="false">E34</f>
        <v>13414.75</v>
      </c>
    </row>
    <row r="58" customFormat="false" ht="18" hidden="false" customHeight="true" outlineLevel="0" collapsed="false">
      <c r="A58" s="13" t="s">
        <v>76</v>
      </c>
      <c r="E58" s="16" t="n">
        <f aca="false">E44</f>
        <v>0</v>
      </c>
    </row>
    <row r="59" customFormat="false" ht="18" hidden="false" customHeight="true" outlineLevel="0" collapsed="false">
      <c r="A59" s="13" t="s">
        <v>77</v>
      </c>
      <c r="E59" s="16" t="n">
        <f aca="false">E53</f>
        <v>0</v>
      </c>
    </row>
    <row r="60" customFormat="false" ht="18" hidden="false" customHeight="true" outlineLevel="0" collapsed="false">
      <c r="A60" s="28" t="s">
        <v>78</v>
      </c>
      <c r="B60" s="29"/>
      <c r="C60" s="29"/>
      <c r="D60" s="29"/>
      <c r="E60" s="30" t="n">
        <f aca="false">E56+E57+E58+E59</f>
        <v>36209.75</v>
      </c>
    </row>
    <row r="62" customFormat="false" ht="18" hidden="false" customHeight="true" outlineLevel="0" collapsed="false">
      <c r="A62" s="4" t="s">
        <v>79</v>
      </c>
      <c r="E62" s="25" t="n">
        <f aca="false">B10</f>
        <v>0.4</v>
      </c>
    </row>
    <row r="63" customFormat="false" ht="18" hidden="false" customHeight="true" outlineLevel="0" collapsed="false">
      <c r="A63" s="4" t="s">
        <v>80</v>
      </c>
      <c r="E63" s="16" t="n">
        <f aca="false">E60*E62</f>
        <v>14483.9</v>
      </c>
    </row>
    <row r="65" customFormat="false" ht="19.5" hidden="false" customHeight="true" outlineLevel="0" collapsed="false">
      <c r="A65" s="31" t="s">
        <v>81</v>
      </c>
      <c r="B65" s="32"/>
      <c r="C65" s="32"/>
      <c r="D65" s="32"/>
      <c r="E65" s="33" t="n">
        <f aca="false">E60+E63</f>
        <v>50693.65</v>
      </c>
    </row>
    <row r="66" customFormat="false" ht="18" hidden="false" customHeight="true" outlineLevel="0" collapsed="false">
      <c r="A66" s="4" t="s">
        <v>82</v>
      </c>
      <c r="E66" s="34" t="n">
        <f aca="false">IF(B4&gt;0,E65/(B4*1000),0)</f>
        <v>5.069365</v>
      </c>
    </row>
    <row r="67" customFormat="false" ht="18" hidden="false" customHeight="true" outlineLevel="0" collapsed="false">
      <c r="A67" s="4" t="s">
        <v>83</v>
      </c>
      <c r="E67" s="35" t="n">
        <f aca="false">IF(B4&gt;0,E60/(B4*1000),0)</f>
        <v>3.620975</v>
      </c>
    </row>
    <row r="68" customFormat="false" ht="18" hidden="false" customHeight="true" outlineLevel="0" collapsed="false">
      <c r="A68" s="4" t="s">
        <v>84</v>
      </c>
      <c r="E68" s="36" t="n">
        <f aca="false">IF(E65&gt;0,E63/E65,0)</f>
        <v>0.285714285714286</v>
      </c>
    </row>
  </sheetData>
  <mergeCells count="7">
    <mergeCell ref="A1:E1"/>
    <mergeCell ref="A3:E3"/>
    <mergeCell ref="A12:E12"/>
    <mergeCell ref="A21:E21"/>
    <mergeCell ref="A36:E36"/>
    <mergeCell ref="A46:E46"/>
    <mergeCell ref="A55:E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8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5"/>
    <col collapsed="false" customWidth="true" hidden="false" outlineLevel="0" max="5" min="3" style="1" width="15"/>
    <col collapsed="false" customWidth="true" hidden="false" outlineLevel="0" max="6" min="6" style="1" width="18"/>
  </cols>
  <sheetData>
    <row r="1" customFormat="false" ht="18" hidden="false" customHeight="true" outlineLevel="0" collapsed="false">
      <c r="A1" s="37" t="s">
        <v>85</v>
      </c>
      <c r="B1" s="37"/>
      <c r="C1" s="37"/>
    </row>
    <row r="2" customFormat="false" ht="18" hidden="false" customHeight="true" outlineLevel="0" collapsed="false">
      <c r="A2" s="20" t="s">
        <v>86</v>
      </c>
      <c r="B2" s="20" t="s">
        <v>87</v>
      </c>
      <c r="C2" s="20" t="s">
        <v>36</v>
      </c>
    </row>
    <row r="3" customFormat="false" ht="18" hidden="false" customHeight="true" outlineLevel="0" collapsed="false">
      <c r="A3" s="13" t="s">
        <v>88</v>
      </c>
      <c r="B3" s="13" t="s">
        <v>89</v>
      </c>
      <c r="C3" s="16" t="n">
        <v>0</v>
      </c>
    </row>
    <row r="4" customFormat="false" ht="18" hidden="false" customHeight="true" outlineLevel="0" collapsed="false">
      <c r="A4" s="13" t="s">
        <v>90</v>
      </c>
      <c r="B4" s="13" t="s">
        <v>91</v>
      </c>
      <c r="C4" s="16" t="n">
        <v>200</v>
      </c>
    </row>
    <row r="5" customFormat="false" ht="18" hidden="false" customHeight="true" outlineLevel="0" collapsed="false">
      <c r="A5" s="13" t="s">
        <v>92</v>
      </c>
      <c r="B5" s="13" t="s">
        <v>91</v>
      </c>
      <c r="C5" s="16" t="n">
        <v>205</v>
      </c>
    </row>
    <row r="6" customFormat="false" ht="18" hidden="false" customHeight="true" outlineLevel="0" collapsed="false">
      <c r="A6" s="13" t="s">
        <v>93</v>
      </c>
      <c r="B6" s="13" t="s">
        <v>94</v>
      </c>
      <c r="C6" s="16" t="n">
        <v>150</v>
      </c>
    </row>
    <row r="7" customFormat="false" ht="18" hidden="false" customHeight="true" outlineLevel="0" collapsed="false">
      <c r="A7" s="13" t="s">
        <v>95</v>
      </c>
      <c r="B7" s="13" t="s">
        <v>89</v>
      </c>
      <c r="C7" s="16" t="n">
        <v>300</v>
      </c>
    </row>
    <row r="8" customFormat="false" ht="18" hidden="false" customHeight="true" outlineLevel="0" collapsed="false">
      <c r="A8" s="13" t="s">
        <v>22</v>
      </c>
      <c r="B8" s="13" t="s">
        <v>89</v>
      </c>
      <c r="C8" s="16" t="n">
        <v>305</v>
      </c>
    </row>
    <row r="9" customFormat="false" ht="18" hidden="false" customHeight="true" outlineLevel="0" collapsed="false">
      <c r="A9" s="13" t="s">
        <v>96</v>
      </c>
      <c r="B9" s="13" t="s">
        <v>97</v>
      </c>
      <c r="C9" s="16" t="n">
        <v>305</v>
      </c>
    </row>
    <row r="11" customFormat="false" ht="18" hidden="false" customHeight="true" outlineLevel="0" collapsed="false">
      <c r="A11" s="38" t="s">
        <v>98</v>
      </c>
      <c r="B11" s="38"/>
      <c r="C11" s="38"/>
    </row>
    <row r="12" customFormat="false" ht="18" hidden="false" customHeight="true" outlineLevel="0" collapsed="false">
      <c r="A12" s="39" t="s">
        <v>86</v>
      </c>
      <c r="B12" s="39" t="s">
        <v>87</v>
      </c>
      <c r="C12" s="39" t="s">
        <v>36</v>
      </c>
    </row>
    <row r="13" customFormat="false" ht="18" hidden="false" customHeight="true" outlineLevel="0" collapsed="false">
      <c r="A13" s="13" t="s">
        <v>99</v>
      </c>
      <c r="B13" s="13" t="s">
        <v>100</v>
      </c>
      <c r="C13" s="16" t="n">
        <v>143</v>
      </c>
    </row>
    <row r="14" customFormat="false" ht="18" hidden="false" customHeight="true" outlineLevel="0" collapsed="false">
      <c r="A14" s="13" t="s">
        <v>101</v>
      </c>
      <c r="B14" s="13" t="s">
        <v>100</v>
      </c>
      <c r="C14" s="16" t="n">
        <v>143</v>
      </c>
    </row>
    <row r="15" customFormat="false" ht="18" hidden="false" customHeight="true" outlineLevel="0" collapsed="false">
      <c r="A15" s="13" t="s">
        <v>102</v>
      </c>
      <c r="B15" s="13" t="s">
        <v>100</v>
      </c>
      <c r="C15" s="16" t="n">
        <v>158</v>
      </c>
    </row>
    <row r="16" customFormat="false" ht="18" hidden="false" customHeight="true" outlineLevel="0" collapsed="false">
      <c r="A16" s="13" t="s">
        <v>24</v>
      </c>
      <c r="B16" s="13" t="s">
        <v>100</v>
      </c>
      <c r="C16" s="16" t="n">
        <v>160</v>
      </c>
    </row>
    <row r="17" customFormat="false" ht="18" hidden="false" customHeight="true" outlineLevel="0" collapsed="false">
      <c r="A17" s="13" t="s">
        <v>103</v>
      </c>
      <c r="B17" s="13" t="s">
        <v>104</v>
      </c>
      <c r="C17" s="16" t="n">
        <v>2250</v>
      </c>
    </row>
    <row r="18" customFormat="false" ht="18" hidden="false" customHeight="true" outlineLevel="0" collapsed="false">
      <c r="A18" s="13" t="s">
        <v>105</v>
      </c>
      <c r="B18" s="13" t="s">
        <v>104</v>
      </c>
      <c r="C18" s="16" t="n">
        <v>2300</v>
      </c>
    </row>
    <row r="19" customFormat="false" ht="18" hidden="false" customHeight="true" outlineLevel="0" collapsed="false">
      <c r="A19" s="13" t="s">
        <v>106</v>
      </c>
      <c r="B19" s="13" t="s">
        <v>104</v>
      </c>
      <c r="C19" s="16" t="n">
        <v>2750</v>
      </c>
    </row>
    <row r="20" customFormat="false" ht="18" hidden="false" customHeight="true" outlineLevel="0" collapsed="false">
      <c r="A20" s="13" t="s">
        <v>107</v>
      </c>
      <c r="B20" s="13" t="s">
        <v>104</v>
      </c>
      <c r="C20" s="16" t="n">
        <v>3200</v>
      </c>
    </row>
    <row r="21" customFormat="false" ht="18" hidden="false" customHeight="true" outlineLevel="0" collapsed="false">
      <c r="A21" s="13" t="s">
        <v>108</v>
      </c>
      <c r="B21" s="13" t="s">
        <v>104</v>
      </c>
      <c r="C21" s="16" t="n">
        <v>3150</v>
      </c>
    </row>
    <row r="22" customFormat="false" ht="18" hidden="false" customHeight="true" outlineLevel="0" collapsed="false">
      <c r="A22" s="13" t="s">
        <v>109</v>
      </c>
      <c r="B22" s="13" t="s">
        <v>110</v>
      </c>
      <c r="C22" s="16" t="n">
        <v>1200</v>
      </c>
    </row>
    <row r="23" customFormat="false" ht="18" hidden="false" customHeight="true" outlineLevel="0" collapsed="false">
      <c r="A23" s="13" t="s">
        <v>111</v>
      </c>
      <c r="B23" s="13" t="s">
        <v>110</v>
      </c>
      <c r="C23" s="16" t="n">
        <v>1200</v>
      </c>
    </row>
    <row r="24" customFormat="false" ht="18" hidden="false" customHeight="true" outlineLevel="0" collapsed="false">
      <c r="A24" s="13" t="s">
        <v>112</v>
      </c>
      <c r="B24" s="13" t="s">
        <v>110</v>
      </c>
      <c r="C24" s="16" t="n">
        <v>1200</v>
      </c>
    </row>
    <row r="25" customFormat="false" ht="18" hidden="false" customHeight="true" outlineLevel="0" collapsed="false">
      <c r="A25" s="13" t="s">
        <v>113</v>
      </c>
      <c r="B25" s="13" t="s">
        <v>114</v>
      </c>
      <c r="C25" s="16" t="n">
        <v>7000</v>
      </c>
    </row>
    <row r="26" customFormat="false" ht="18" hidden="false" customHeight="true" outlineLevel="0" collapsed="false">
      <c r="A26" s="13" t="s">
        <v>115</v>
      </c>
      <c r="B26" s="13" t="s">
        <v>114</v>
      </c>
      <c r="C26" s="16" t="n">
        <v>12000</v>
      </c>
    </row>
    <row r="27" customFormat="false" ht="18" hidden="false" customHeight="true" outlineLevel="0" collapsed="false">
      <c r="A27" s="13" t="s">
        <v>116</v>
      </c>
      <c r="B27" s="13" t="s">
        <v>117</v>
      </c>
      <c r="C27" s="16" t="n">
        <v>16000</v>
      </c>
    </row>
    <row r="28" customFormat="false" ht="18" hidden="false" customHeight="true" outlineLevel="0" collapsed="false">
      <c r="A28" s="13" t="s">
        <v>118</v>
      </c>
      <c r="B28" s="13" t="s">
        <v>117</v>
      </c>
      <c r="C28" s="16" t="n">
        <v>16000</v>
      </c>
    </row>
    <row r="29" customFormat="false" ht="18" hidden="false" customHeight="true" outlineLevel="0" collapsed="false">
      <c r="A29" s="13" t="s">
        <v>119</v>
      </c>
      <c r="B29" s="13" t="s">
        <v>117</v>
      </c>
      <c r="C29" s="16" t="n">
        <v>17000</v>
      </c>
    </row>
    <row r="31" customFormat="false" ht="18" hidden="false" customHeight="true" outlineLevel="0" collapsed="false">
      <c r="A31" s="40" t="s">
        <v>120</v>
      </c>
      <c r="B31" s="40"/>
      <c r="C31" s="40"/>
      <c r="D31" s="40"/>
      <c r="E31" s="40"/>
      <c r="F31" s="40"/>
    </row>
    <row r="32" customFormat="false" ht="18" hidden="false" customHeight="true" outlineLevel="0" collapsed="false">
      <c r="A32" s="41" t="s">
        <v>86</v>
      </c>
      <c r="B32" s="41" t="s">
        <v>87</v>
      </c>
      <c r="C32" s="41" t="s">
        <v>121</v>
      </c>
      <c r="D32" s="41" t="s">
        <v>122</v>
      </c>
      <c r="E32" s="41" t="s">
        <v>123</v>
      </c>
      <c r="F32" s="41" t="s">
        <v>124</v>
      </c>
    </row>
    <row r="33" customFormat="false" ht="18" hidden="false" customHeight="true" outlineLevel="0" collapsed="false">
      <c r="A33" s="13" t="s">
        <v>26</v>
      </c>
      <c r="B33" s="13" t="s">
        <v>110</v>
      </c>
      <c r="C33" s="16" t="n">
        <v>7700</v>
      </c>
      <c r="D33" s="42" t="n">
        <v>13.5</v>
      </c>
      <c r="E33" s="16" t="n">
        <v>7500</v>
      </c>
      <c r="F33" s="16" t="n">
        <v>2600</v>
      </c>
    </row>
    <row r="34" customFormat="false" ht="18" hidden="false" customHeight="true" outlineLevel="0" collapsed="false">
      <c r="A34" s="13" t="s">
        <v>125</v>
      </c>
      <c r="B34" s="13" t="s">
        <v>110</v>
      </c>
      <c r="C34" s="16" t="n">
        <v>5200</v>
      </c>
      <c r="D34" s="42" t="n">
        <v>13.5</v>
      </c>
      <c r="E34" s="16" t="n">
        <v>4900</v>
      </c>
      <c r="F34" s="16" t="n">
        <v>1900</v>
      </c>
    </row>
    <row r="35" customFormat="false" ht="18" hidden="false" customHeight="true" outlineLevel="0" collapsed="false">
      <c r="A35" s="13" t="s">
        <v>126</v>
      </c>
      <c r="B35" s="13" t="s">
        <v>100</v>
      </c>
      <c r="C35" s="16" t="n">
        <v>7800</v>
      </c>
      <c r="D35" s="42" t="n">
        <v>10</v>
      </c>
      <c r="E35" s="16" t="n">
        <v>7500</v>
      </c>
      <c r="F35" s="16" t="n">
        <v>3000</v>
      </c>
    </row>
    <row r="37" customFormat="false" ht="18" hidden="false" customHeight="false" outlineLevel="0" collapsed="false">
      <c r="A37" s="43" t="s">
        <v>127</v>
      </c>
    </row>
    <row r="38" customFormat="false" ht="18" hidden="false" customHeight="false" outlineLevel="0" collapsed="false">
      <c r="A38" s="44" t="s">
        <v>86</v>
      </c>
      <c r="B38" s="44" t="s">
        <v>87</v>
      </c>
      <c r="C38" s="44" t="s">
        <v>36</v>
      </c>
      <c r="D38" s="44" t="s">
        <v>128</v>
      </c>
    </row>
    <row r="39" customFormat="false" ht="18" hidden="false" customHeight="false" outlineLevel="0" collapsed="false">
      <c r="A39" s="1" t="s">
        <v>129</v>
      </c>
      <c r="B39" s="1" t="s">
        <v>110</v>
      </c>
      <c r="C39" s="1" t="n">
        <v>600</v>
      </c>
      <c r="D39" s="1" t="s">
        <v>130</v>
      </c>
    </row>
    <row r="40" customFormat="false" ht="18" hidden="false" customHeight="false" outlineLevel="0" collapsed="false">
      <c r="A40" s="1" t="s">
        <v>131</v>
      </c>
      <c r="B40" s="1" t="s">
        <v>110</v>
      </c>
      <c r="C40" s="1" t="n">
        <v>0</v>
      </c>
      <c r="D40" s="1" t="s">
        <v>132</v>
      </c>
    </row>
  </sheetData>
  <mergeCells count="3">
    <mergeCell ref="A1:C1"/>
    <mergeCell ref="A11:C11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8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4" min="4" style="1" width="25"/>
  </cols>
  <sheetData>
    <row r="1" customFormat="false" ht="18" hidden="false" customHeight="true" outlineLevel="0" collapsed="false">
      <c r="A1" s="45" t="s">
        <v>133</v>
      </c>
      <c r="B1" s="45" t="s">
        <v>79</v>
      </c>
      <c r="C1" s="45" t="s">
        <v>134</v>
      </c>
      <c r="D1" s="45" t="s">
        <v>135</v>
      </c>
    </row>
    <row r="2" customFormat="false" ht="18" hidden="false" customHeight="true" outlineLevel="0" collapsed="false">
      <c r="A2" s="13" t="s">
        <v>12</v>
      </c>
      <c r="B2" s="25" t="n">
        <v>0.4</v>
      </c>
      <c r="C2" s="13" t="s">
        <v>136</v>
      </c>
      <c r="D2" s="13" t="s">
        <v>137</v>
      </c>
    </row>
    <row r="3" customFormat="false" ht="18" hidden="false" customHeight="true" outlineLevel="0" collapsed="false">
      <c r="A3" s="13" t="s">
        <v>138</v>
      </c>
      <c r="B3" s="25" t="n">
        <v>0.36</v>
      </c>
      <c r="C3" s="13" t="s">
        <v>139</v>
      </c>
      <c r="D3" s="13" t="s">
        <v>140</v>
      </c>
    </row>
    <row r="4" customFormat="false" ht="18" hidden="false" customHeight="true" outlineLevel="0" collapsed="false">
      <c r="A4" s="13" t="s">
        <v>141</v>
      </c>
      <c r="B4" s="25" t="n">
        <v>0.5</v>
      </c>
      <c r="C4" s="13" t="s">
        <v>139</v>
      </c>
      <c r="D4" s="13" t="s">
        <v>142</v>
      </c>
    </row>
    <row r="5" customFormat="false" ht="18" hidden="false" customHeight="true" outlineLevel="0" collapsed="false">
      <c r="A5" s="13" t="s">
        <v>143</v>
      </c>
      <c r="B5" s="25" t="n">
        <v>0.3</v>
      </c>
      <c r="C5" s="13" t="s">
        <v>139</v>
      </c>
      <c r="D5" s="13" t="s">
        <v>144</v>
      </c>
    </row>
    <row r="6" customFormat="false" ht="18" hidden="false" customHeight="true" outlineLevel="0" collapsed="false">
      <c r="A6" s="13" t="s">
        <v>145</v>
      </c>
      <c r="B6" s="25" t="n">
        <v>0.65</v>
      </c>
      <c r="C6" s="13" t="s">
        <v>139</v>
      </c>
      <c r="D6" s="1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8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5"/>
    <col collapsed="false" customWidth="true" hidden="false" outlineLevel="0" max="3" min="3" style="1" width="12"/>
  </cols>
  <sheetData>
    <row r="1" customFormat="false" ht="18" hidden="false" customHeight="true" outlineLevel="0" collapsed="false">
      <c r="A1" s="46" t="s">
        <v>147</v>
      </c>
      <c r="B1" s="46"/>
      <c r="C1" s="46"/>
    </row>
    <row r="3" customFormat="false" ht="18" hidden="false" customHeight="true" outlineLevel="0" collapsed="false">
      <c r="A3" s="47" t="s">
        <v>148</v>
      </c>
      <c r="B3" s="48"/>
      <c r="C3" s="48"/>
    </row>
    <row r="4" customFormat="false" ht="18" hidden="false" customHeight="true" outlineLevel="0" collapsed="false">
      <c r="A4" s="17"/>
      <c r="B4" s="17" t="s">
        <v>33</v>
      </c>
      <c r="C4" s="17" t="s">
        <v>34</v>
      </c>
    </row>
    <row r="5" customFormat="false" ht="18" hidden="false" customHeight="true" outlineLevel="0" collapsed="false">
      <c r="A5" s="13" t="s">
        <v>37</v>
      </c>
      <c r="B5" s="17" t="s">
        <v>149</v>
      </c>
      <c r="C5" s="17" t="s">
        <v>38</v>
      </c>
    </row>
    <row r="6" customFormat="false" ht="18" hidden="false" customHeight="true" outlineLevel="0" collapsed="false">
      <c r="A6" s="13" t="s">
        <v>39</v>
      </c>
      <c r="B6" s="17" t="s">
        <v>149</v>
      </c>
      <c r="C6" s="17" t="s">
        <v>38</v>
      </c>
    </row>
    <row r="7" customFormat="false" ht="18" hidden="false" customHeight="true" outlineLevel="0" collapsed="false">
      <c r="A7" s="13" t="s">
        <v>40</v>
      </c>
      <c r="B7" s="17" t="s">
        <v>150</v>
      </c>
      <c r="C7" s="17" t="s">
        <v>38</v>
      </c>
    </row>
    <row r="8" customFormat="false" ht="18" hidden="false" customHeight="true" outlineLevel="0" collapsed="false">
      <c r="A8" s="13" t="s">
        <v>151</v>
      </c>
      <c r="B8" s="17" t="s">
        <v>152</v>
      </c>
      <c r="C8" s="17" t="s">
        <v>153</v>
      </c>
    </row>
    <row r="9" customFormat="false" ht="18" hidden="false" customHeight="true" outlineLevel="0" collapsed="false">
      <c r="A9" s="13" t="s">
        <v>44</v>
      </c>
      <c r="B9" s="17" t="s">
        <v>154</v>
      </c>
      <c r="C9" s="17" t="s">
        <v>42</v>
      </c>
    </row>
    <row r="10" customFormat="false" ht="18" hidden="false" customHeight="true" outlineLevel="0" collapsed="false">
      <c r="A10" s="13" t="s">
        <v>45</v>
      </c>
      <c r="B10" s="17" t="s">
        <v>155</v>
      </c>
      <c r="C10" s="17" t="s">
        <v>38</v>
      </c>
    </row>
    <row r="11" customFormat="false" ht="18" hidden="false" customHeight="true" outlineLevel="0" collapsed="false">
      <c r="A11" s="13" t="s">
        <v>156</v>
      </c>
      <c r="B11" s="17" t="s">
        <v>157</v>
      </c>
      <c r="C11" s="17" t="s">
        <v>158</v>
      </c>
    </row>
    <row r="12" customFormat="false" ht="18" hidden="false" customHeight="true" outlineLevel="0" collapsed="false">
      <c r="A12" s="13" t="s">
        <v>46</v>
      </c>
      <c r="B12" s="17" t="s">
        <v>159</v>
      </c>
      <c r="C12" s="17" t="s">
        <v>42</v>
      </c>
    </row>
    <row r="13" customFormat="false" ht="18" hidden="false" customHeight="true" outlineLevel="0" collapsed="false">
      <c r="A13" s="13" t="s">
        <v>47</v>
      </c>
      <c r="B13" s="17" t="s">
        <v>160</v>
      </c>
      <c r="C13" s="17" t="s">
        <v>42</v>
      </c>
    </row>
    <row r="14" customFormat="false" ht="18" hidden="false" customHeight="true" outlineLevel="0" collapsed="false">
      <c r="A14" s="13" t="s">
        <v>48</v>
      </c>
      <c r="B14" s="17" t="s">
        <v>161</v>
      </c>
      <c r="C14" s="17" t="s">
        <v>42</v>
      </c>
    </row>
    <row r="15" customFormat="false" ht="18" hidden="false" customHeight="true" outlineLevel="0" collapsed="false">
      <c r="A15" s="17"/>
      <c r="B15" s="17"/>
      <c r="C15" s="17"/>
    </row>
    <row r="16" customFormat="false" ht="18" hidden="false" customHeight="true" outlineLevel="0" collapsed="false">
      <c r="A16" s="49" t="s">
        <v>162</v>
      </c>
      <c r="B16" s="50"/>
      <c r="C16" s="50"/>
    </row>
    <row r="17" customFormat="false" ht="18" hidden="false" customHeight="true" outlineLevel="0" collapsed="false">
      <c r="A17" s="13" t="s">
        <v>163</v>
      </c>
      <c r="B17" s="17" t="s">
        <v>164</v>
      </c>
      <c r="C17" s="17" t="s">
        <v>38</v>
      </c>
    </row>
    <row r="18" customFormat="false" ht="18" hidden="false" customHeight="true" outlineLevel="0" collapsed="false">
      <c r="A18" s="13" t="s">
        <v>165</v>
      </c>
      <c r="B18" s="17" t="s">
        <v>166</v>
      </c>
      <c r="C18" s="17" t="s">
        <v>38</v>
      </c>
    </row>
    <row r="19" customFormat="false" ht="18" hidden="false" customHeight="true" outlineLevel="0" collapsed="false">
      <c r="A19" s="13" t="s">
        <v>167</v>
      </c>
      <c r="B19" s="17" t="s">
        <v>168</v>
      </c>
      <c r="C19" s="17" t="s">
        <v>38</v>
      </c>
    </row>
    <row r="20" customFormat="false" ht="18" hidden="false" customHeight="true" outlineLevel="0" collapsed="false">
      <c r="A20" s="13" t="s">
        <v>169</v>
      </c>
      <c r="B20" s="17" t="s">
        <v>170</v>
      </c>
      <c r="C20" s="17" t="s">
        <v>38</v>
      </c>
    </row>
    <row r="21" customFormat="false" ht="18" hidden="false" customHeight="true" outlineLevel="0" collapsed="false">
      <c r="A21" s="13" t="s">
        <v>171</v>
      </c>
      <c r="B21" s="17" t="s">
        <v>168</v>
      </c>
      <c r="C21" s="17" t="s">
        <v>38</v>
      </c>
    </row>
    <row r="22" customFormat="false" ht="18" hidden="false" customHeight="true" outlineLevel="0" collapsed="false">
      <c r="A22" s="13" t="s">
        <v>172</v>
      </c>
      <c r="B22" s="17" t="s">
        <v>173</v>
      </c>
      <c r="C22" s="17" t="s">
        <v>38</v>
      </c>
    </row>
    <row r="23" customFormat="false" ht="18" hidden="false" customHeight="true" outlineLevel="0" collapsed="false">
      <c r="A23" s="17"/>
      <c r="B23" s="17"/>
      <c r="C23" s="17"/>
    </row>
    <row r="24" customFormat="false" ht="18" hidden="false" customHeight="true" outlineLevel="0" collapsed="false">
      <c r="A24" s="49" t="s">
        <v>64</v>
      </c>
      <c r="B24" s="50"/>
      <c r="C24" s="50"/>
    </row>
    <row r="25" customFormat="false" ht="18" hidden="false" customHeight="true" outlineLevel="0" collapsed="false">
      <c r="A25" s="13" t="s">
        <v>67</v>
      </c>
      <c r="B25" s="17" t="s">
        <v>174</v>
      </c>
      <c r="C25" s="17" t="s">
        <v>175</v>
      </c>
    </row>
    <row r="26" customFormat="false" ht="18" hidden="false" customHeight="true" outlineLevel="0" collapsed="false">
      <c r="A26" s="13" t="s">
        <v>68</v>
      </c>
      <c r="B26" s="17" t="s">
        <v>168</v>
      </c>
      <c r="C26" s="17" t="s">
        <v>38</v>
      </c>
    </row>
    <row r="27" customFormat="false" ht="18" hidden="false" customHeight="true" outlineLevel="0" collapsed="false">
      <c r="A27" s="13" t="s">
        <v>69</v>
      </c>
      <c r="B27" s="17" t="s">
        <v>176</v>
      </c>
      <c r="C27" s="17" t="s">
        <v>153</v>
      </c>
    </row>
    <row r="28" customFormat="false" ht="18" hidden="false" customHeight="true" outlineLevel="0" collapsed="false">
      <c r="A28" s="13" t="s">
        <v>70</v>
      </c>
      <c r="B28" s="17" t="s">
        <v>168</v>
      </c>
      <c r="C28" s="17" t="s">
        <v>38</v>
      </c>
    </row>
    <row r="29" customFormat="false" ht="18" hidden="false" customHeight="true" outlineLevel="0" collapsed="false">
      <c r="A29" s="13" t="s">
        <v>71</v>
      </c>
      <c r="B29" s="17" t="s">
        <v>168</v>
      </c>
      <c r="C29" s="17" t="s">
        <v>38</v>
      </c>
    </row>
    <row r="30" customFormat="false" ht="18" hidden="false" customHeight="true" outlineLevel="0" collapsed="false">
      <c r="A30" s="17"/>
      <c r="B30" s="17"/>
      <c r="C30" s="17"/>
    </row>
    <row r="31" customFormat="false" ht="18" hidden="false" customHeight="true" outlineLevel="0" collapsed="false">
      <c r="A31" s="49" t="s">
        <v>177</v>
      </c>
      <c r="B31" s="50"/>
      <c r="C31" s="50"/>
    </row>
    <row r="32" customFormat="false" ht="18" hidden="false" customHeight="true" outlineLevel="0" collapsed="false">
      <c r="A32" s="13" t="s">
        <v>178</v>
      </c>
      <c r="B32" s="17" t="s">
        <v>179</v>
      </c>
      <c r="C32" s="17"/>
    </row>
    <row r="33" customFormat="false" ht="18" hidden="false" customHeight="true" outlineLevel="0" collapsed="false">
      <c r="A33" s="13" t="s">
        <v>180</v>
      </c>
      <c r="B33" s="17" t="s">
        <v>181</v>
      </c>
      <c r="C33" s="17"/>
    </row>
    <row r="34" customFormat="false" ht="18" hidden="false" customHeight="true" outlineLevel="0" collapsed="false">
      <c r="A34" s="13" t="s">
        <v>182</v>
      </c>
      <c r="B34" s="17" t="s">
        <v>183</v>
      </c>
      <c r="C34" s="17"/>
    </row>
    <row r="35" customFormat="false" ht="18" hidden="false" customHeight="true" outlineLevel="0" collapsed="false">
      <c r="A35" s="13" t="s">
        <v>184</v>
      </c>
      <c r="B35" s="17" t="s">
        <v>185</v>
      </c>
      <c r="C35" s="17"/>
    </row>
    <row r="36" customFormat="false" ht="18" hidden="false" customHeight="true" outlineLevel="0" collapsed="false">
      <c r="A36" s="13" t="s">
        <v>186</v>
      </c>
      <c r="B36" s="17" t="s">
        <v>187</v>
      </c>
      <c r="C36" s="17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2026-03-25T00:20:35Z</dcterms:created>
  <dc:creator>openpyxl</dc:creator>
  <dc:description/>
  <dc:language>en-US</dc:language>
  <cp:lastModifiedBy/>
  <dcterms:modified xsi:type="dcterms:W3CDTF">2026-03-25T01:15:28Z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