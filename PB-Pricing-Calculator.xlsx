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sts &amp; Prices" sheetId="1" state="visible" r:id="rId3"/>
    <sheet name="Calcul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<sst xmlns="http://schemas.openxmlformats.org/spreadsheetml/2006/main" count="189" uniqueCount="147">
  <si>
    <t xml:space="preserve">MODULES</t>
  </si>
  <si>
    <t xml:space="preserve">Name</t>
  </si>
  <si>
    <t xml:space="preserve">Cost</t>
  </si>
  <si>
    <t xml:space="preserve">Watts</t>
  </si>
  <si>
    <t xml:space="preserve">DC Qual?</t>
  </si>
  <si>
    <t xml:space="preserve">Hyundai 440W (Black)</t>
  </si>
  <si>
    <t xml:space="preserve">No</t>
  </si>
  <si>
    <t xml:space="preserve">Silfab 440W (Black/Gold)</t>
  </si>
  <si>
    <t xml:space="preserve">Silfab 430W (Black/Gold)</t>
  </si>
  <si>
    <t xml:space="preserve">INVERTERS</t>
  </si>
  <si>
    <t xml:space="preserve">Tesla 7.6kW Inverter</t>
  </si>
  <si>
    <t xml:space="preserve">Tesla 5.0kW Inverter</t>
  </si>
  <si>
    <t xml:space="preserve">Tesla 3.8kW Inverter</t>
  </si>
  <si>
    <t xml:space="preserve">Enphase IQ8MC Micro</t>
  </si>
  <si>
    <t xml:space="preserve">Enphase IQ8X Micro</t>
  </si>
  <si>
    <t xml:space="preserve">Enphase IQ8A Micro</t>
  </si>
  <si>
    <t xml:space="preserve">Enphase IQ8M Micro</t>
  </si>
  <si>
    <t xml:space="preserve">BATTERIES</t>
  </si>
  <si>
    <t xml:space="preserve">Labour</t>
  </si>
  <si>
    <t xml:space="preserve">Tesla Powerwall 3</t>
  </si>
  <si>
    <t xml:space="preserve">Yes</t>
  </si>
  <si>
    <t xml:space="preserve">PW3 Expansion Pack</t>
  </si>
  <si>
    <t xml:space="preserve">OTHER EQUIPMENT</t>
  </si>
  <si>
    <t xml:space="preserve">Bundled?</t>
  </si>
  <si>
    <t xml:space="preserve">Tesla Wall Connector (Gen 3)</t>
  </si>
  <si>
    <t xml:space="preserve">Tesla Backup Switch</t>
  </si>
  <si>
    <t xml:space="preserve">PRICING SCHEMES</t>
  </si>
  <si>
    <t xml:space="preserve">Scheme</t>
  </si>
  <si>
    <t xml:space="preserve">Markup %</t>
  </si>
  <si>
    <t xml:space="preserve">Base (Colorado)</t>
  </si>
  <si>
    <t xml:space="preserve">Ventura</t>
  </si>
  <si>
    <t xml:space="preserve">Bay Area</t>
  </si>
  <si>
    <t xml:space="preserve">D&amp;R</t>
  </si>
  <si>
    <t xml:space="preserve">Off Grid Homes</t>
  </si>
  <si>
    <t xml:space="preserve">ROOF TYPES</t>
  </si>
  <si>
    <t xml:space="preserve">Type</t>
  </si>
  <si>
    <t xml:space="preserve">Fixed ($)</t>
  </si>
  <si>
    <t xml:space="preserve">Per-Watt ($)</t>
  </si>
  <si>
    <t xml:space="preserve">Comp/Asphalt Shingle</t>
  </si>
  <si>
    <t xml:space="preserve">Flat Membrane</t>
  </si>
  <si>
    <t xml:space="preserve">Tile Concrete</t>
  </si>
  <si>
    <t xml:space="preserve">Wood Shake</t>
  </si>
  <si>
    <t xml:space="preserve">Metal Corrugated</t>
  </si>
  <si>
    <t xml:space="preserve">STOREY ADDERS</t>
  </si>
  <si>
    <t xml:space="preserve">Stories</t>
  </si>
  <si>
    <t xml:space="preserve">1 Story</t>
  </si>
  <si>
    <t xml:space="preserve">2 Stories</t>
  </si>
  <si>
    <t xml:space="preserve">3+ Stories</t>
  </si>
  <si>
    <t xml:space="preserve">PITCH ADDERS</t>
  </si>
  <si>
    <t xml:space="preserve">Slope</t>
  </si>
  <si>
    <t xml:space="preserve">Standard (&lt; 34°)</t>
  </si>
  <si>
    <t xml:space="preserve">Steep (34°-44°)</t>
  </si>
  <si>
    <t xml:space="preserve">Very Steep (&gt; 44°)</t>
  </si>
  <si>
    <t xml:space="preserve">COST SCHEME RATES</t>
  </si>
  <si>
    <t xml:space="preserve">Item</t>
  </si>
  <si>
    <t xml:space="preserve">Rate</t>
  </si>
  <si>
    <t xml:space="preserve">Unit</t>
  </si>
  <si>
    <t xml:space="preserve">Racking</t>
  </si>
  <si>
    <t xml:space="preserve">$/W</t>
  </si>
  <si>
    <t xml:space="preserve">BOS</t>
  </si>
  <si>
    <t xml:space="preserve">Lead Gen (fixed)</t>
  </si>
  <si>
    <t xml:space="preserve">$/system</t>
  </si>
  <si>
    <t xml:space="preserve">Lead Gen (per-watt)</t>
  </si>
  <si>
    <t xml:space="preserve">Salary</t>
  </si>
  <si>
    <t xml:space="preserve">Commission</t>
  </si>
  <si>
    <t xml:space="preserve">% of COGS+Labour</t>
  </si>
  <si>
    <t xml:space="preserve">Pre-sale</t>
  </si>
  <si>
    <t xml:space="preserve">PM</t>
  </si>
  <si>
    <t xml:space="preserve">Design</t>
  </si>
  <si>
    <t xml:space="preserve">Permit</t>
  </si>
  <si>
    <t xml:space="preserve">Battery Misc</t>
  </si>
  <si>
    <t xml:space="preserve">PE LEASE PARAMETERS</t>
  </si>
  <si>
    <t xml:space="preserve">Parameter</t>
  </si>
  <si>
    <t xml:space="preserve">Value</t>
  </si>
  <si>
    <t xml:space="preserve">Notes</t>
  </si>
  <si>
    <t xml:space="preserve">Baseline Factor</t>
  </si>
  <si>
    <t xml:space="preserve">10/7 per PE Pricing Policy v3</t>
  </si>
  <si>
    <t xml:space="preserve">DC Bonus</t>
  </si>
  <si>
    <t xml:space="preserve">When domestic content qualifies</t>
  </si>
  <si>
    <t xml:space="preserve">No Bonus Penalty</t>
  </si>
  <si>
    <t xml:space="preserve">No DC and no Energy Community</t>
  </si>
  <si>
    <t xml:space="preserve">Customer Discount</t>
  </si>
  <si>
    <t xml:space="preserve">PE customer pays 70%</t>
  </si>
  <si>
    <t xml:space="preserve">PB Pricing Calculator</t>
  </si>
  <si>
    <t xml:space="preserve">EQUIPMENT</t>
  </si>
  <si>
    <t xml:space="preserve">Selection</t>
  </si>
  <si>
    <t xml:space="preserve">Qty</t>
  </si>
  <si>
    <t xml:space="preserve">Cost/Unit</t>
  </si>
  <si>
    <t xml:space="preserve">Total</t>
  </si>
  <si>
    <t xml:space="preserve">Module</t>
  </si>
  <si>
    <t xml:space="preserve">Module 2 (optional)</t>
  </si>
  <si>
    <t xml:space="preserve">(none)</t>
  </si>
  <si>
    <t xml:space="preserve">Inverter</t>
  </si>
  <si>
    <t xml:space="preserve">Inverter 2 (optional)</t>
  </si>
  <si>
    <t xml:space="preserve">Battery</t>
  </si>
  <si>
    <t xml:space="preserve">Battery 2 (optional)</t>
  </si>
  <si>
    <t xml:space="preserve">EV Charger</t>
  </si>
  <si>
    <t xml:space="preserve">CONFIGURATION</t>
  </si>
  <si>
    <t xml:space="preserve">Pricing Scheme</t>
  </si>
  <si>
    <t xml:space="preserve">Markup:</t>
  </si>
  <si>
    <t xml:space="preserve">Roof Type</t>
  </si>
  <si>
    <t xml:space="preserve">Fixed:</t>
  </si>
  <si>
    <t xml:space="preserve">Storey</t>
  </si>
  <si>
    <t xml:space="preserve">$/W:</t>
  </si>
  <si>
    <t xml:space="preserve">Roof Pitch</t>
  </si>
  <si>
    <t xml:space="preserve">PE Deal?</t>
  </si>
  <si>
    <t xml:space="preserve">Energy Community?</t>
  </si>
  <si>
    <t xml:space="preserve">Custom Adder ($)</t>
  </si>
  <si>
    <t xml:space="preserve">e.g. -1000 promo</t>
  </si>
  <si>
    <t xml:space="preserve">SYSTEM SUMMARY</t>
  </si>
  <si>
    <t xml:space="preserve">Total Panels</t>
  </si>
  <si>
    <t xml:space="preserve">Total Watts</t>
  </si>
  <si>
    <t xml:space="preserve">kW DC</t>
  </si>
  <si>
    <t xml:space="preserve">Total Batteries</t>
  </si>
  <si>
    <t xml:space="preserve">Battery Only?</t>
  </si>
  <si>
    <t xml:space="preserve">COST BREAKDOWN</t>
  </si>
  <si>
    <t xml:space="preserve">Module Cost</t>
  </si>
  <si>
    <t xml:space="preserve">Inverter Cost</t>
  </si>
  <si>
    <t xml:space="preserve">Battery Cost</t>
  </si>
  <si>
    <t xml:space="preserve">Other Equipment</t>
  </si>
  <si>
    <t xml:space="preserve">COGS</t>
  </si>
  <si>
    <t xml:space="preserve">Roof Adder</t>
  </si>
  <si>
    <t xml:space="preserve">Storey Adder</t>
  </si>
  <si>
    <t xml:space="preserve">Pitch Adder</t>
  </si>
  <si>
    <t xml:space="preserve">Extra Costs</t>
  </si>
  <si>
    <t xml:space="preserve">General Labour</t>
  </si>
  <si>
    <t xml:space="preserve">Battery Labour</t>
  </si>
  <si>
    <t xml:space="preserve">Total Labour</t>
  </si>
  <si>
    <t xml:space="preserve">Lead Gen</t>
  </si>
  <si>
    <t xml:space="preserve">Commission (5%)</t>
  </si>
  <si>
    <t xml:space="preserve">Total Acquisition</t>
  </si>
  <si>
    <t xml:space="preserve">Fulfillment (PM+Design+Permit)</t>
  </si>
  <si>
    <t xml:space="preserve">TOTAL COSTS</t>
  </si>
  <si>
    <t xml:space="preserve">BASE PRICE (Costs x (1+Markup))</t>
  </si>
  <si>
    <t xml:space="preserve">AFTER ADDERS</t>
  </si>
  <si>
    <t xml:space="preserve">PE LEASE &amp; FINAL PRICING</t>
  </si>
  <si>
    <t xml:space="preserve">System Type</t>
  </si>
  <si>
    <t xml:space="preserve">Solar DC Qualified?</t>
  </si>
  <si>
    <t xml:space="preserve">Battery DC Qualified?</t>
  </si>
  <si>
    <t xml:space="preserve">Lease Factor Adjustment</t>
  </si>
  <si>
    <t xml:space="preserve">Lease Factor</t>
  </si>
  <si>
    <t xml:space="preserve">EPC Price (HubSpot Amount)</t>
  </si>
  <si>
    <t xml:space="preserve">CUSTOMER PAYS</t>
  </si>
  <si>
    <t xml:space="preserve">PE Payment to PB</t>
  </si>
  <si>
    <t xml:space="preserve">  PE @ Inspection Complete (2/3)</t>
  </si>
  <si>
    <t xml:space="preserve">  PE @ Project Complete (1/3)</t>
  </si>
  <si>
    <t xml:space="preserve">TOTAL PB REVENUE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</si>
</sst>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"/>
    <numFmt numFmtId="167" formatCode="0.0%"/>
    <numFmt numFmtId="168" formatCode="\$#,##0.00"/>
    <numFmt numFmtId="169" formatCode="0.0000000"/>
    <numFmt numFmtId="170" formatCode="0.00"/>
    <numFmt numFmtId="171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71809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A5568"/>
        <bgColor rgb="FF2D3748"/>
      </patternFill>
    </fill>
    <fill>
      <patternFill patternType="solid">
        <fgColor rgb="FFF7FAF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D3748"/>
        <bgColor rgb="FF333300"/>
      </patternFill>
    </fill>
    <fill>
      <patternFill patternType="solid">
        <fgColor rgb="FFEBF4FF"/>
        <bgColor rgb="FFF7FAFC"/>
      </patternFill>
    </fill>
    <fill>
      <patternFill patternType="solid">
        <fgColor rgb="FFF0FFF4"/>
        <bgColor rgb="FFF7FAFC"/>
      </patternFill>
    </fill>
    <fill>
      <patternFill patternType="solid">
        <fgColor rgb="FFFFFAF0"/>
        <bgColor rgb="FFF7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FFAF0"/>
      <rgbColor rgb="FFEBF4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4"/>
      <rgbColor rgb="FFF7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8A169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A169"/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</row>
    <row r="3" customFormat="false" ht="15" hidden="false" customHeight="false" outlineLevel="0" collapsed="false">
      <c r="A3" s="3" t="s">
        <v>5</v>
      </c>
      <c r="B3" s="4" t="n">
        <v>305</v>
      </c>
      <c r="C3" s="5" t="n">
        <v>440</v>
      </c>
      <c r="D3" s="6" t="s">
        <v>6</v>
      </c>
    </row>
    <row r="4" customFormat="false" ht="15" hidden="false" customHeight="false" outlineLevel="0" collapsed="false">
      <c r="A4" s="3" t="s">
        <v>7</v>
      </c>
      <c r="B4" s="4" t="n">
        <v>305</v>
      </c>
      <c r="C4" s="5" t="n">
        <v>440</v>
      </c>
      <c r="D4" s="6" t="s">
        <v>6</v>
      </c>
    </row>
    <row r="5" customFormat="false" ht="15" hidden="false" customHeight="false" outlineLevel="0" collapsed="false">
      <c r="A5" s="3" t="s">
        <v>8</v>
      </c>
      <c r="B5" s="4" t="n">
        <v>300</v>
      </c>
      <c r="C5" s="5" t="n">
        <v>430</v>
      </c>
      <c r="D5" s="6" t="s">
        <v>6</v>
      </c>
    </row>
    <row r="7" customFormat="false" ht="15" hidden="false" customHeight="false" outlineLevel="0" collapsed="false">
      <c r="A7" s="1" t="s">
        <v>9</v>
      </c>
      <c r="B7" s="1"/>
      <c r="C7" s="1"/>
      <c r="D7" s="1"/>
      <c r="E7" s="1"/>
      <c r="F7" s="1"/>
    </row>
    <row r="8" customFormat="false" ht="15" hidden="false" customHeight="false" outlineLevel="0" collapsed="false">
      <c r="A8" s="2" t="s">
        <v>1</v>
      </c>
      <c r="B8" s="2" t="s">
        <v>2</v>
      </c>
      <c r="C8" s="2"/>
      <c r="D8" s="2"/>
      <c r="E8" s="2"/>
      <c r="F8" s="2"/>
    </row>
    <row r="9" customFormat="false" ht="15" hidden="false" customHeight="false" outlineLevel="0" collapsed="false">
      <c r="A9" s="3" t="s">
        <v>10</v>
      </c>
      <c r="B9" s="4" t="n">
        <v>1200</v>
      </c>
    </row>
    <row r="10" customFormat="false" ht="15" hidden="false" customHeight="false" outlineLevel="0" collapsed="false">
      <c r="A10" s="3" t="s">
        <v>11</v>
      </c>
      <c r="B10" s="4" t="n">
        <v>1200</v>
      </c>
    </row>
    <row r="11" customFormat="false" ht="15" hidden="false" customHeight="false" outlineLevel="0" collapsed="false">
      <c r="A11" s="3" t="s">
        <v>12</v>
      </c>
      <c r="B11" s="4" t="n">
        <v>1200</v>
      </c>
    </row>
    <row r="12" customFormat="false" ht="15" hidden="false" customHeight="false" outlineLevel="0" collapsed="false">
      <c r="A12" s="3" t="s">
        <v>13</v>
      </c>
      <c r="B12" s="4" t="n">
        <v>160</v>
      </c>
    </row>
    <row r="13" customFormat="false" ht="15" hidden="false" customHeight="false" outlineLevel="0" collapsed="false">
      <c r="A13" s="3" t="s">
        <v>14</v>
      </c>
      <c r="B13" s="4" t="n">
        <v>158</v>
      </c>
    </row>
    <row r="14" customFormat="false" ht="15" hidden="false" customHeight="false" outlineLevel="0" collapsed="false">
      <c r="A14" s="3" t="s">
        <v>15</v>
      </c>
      <c r="B14" s="4" t="n">
        <v>143</v>
      </c>
    </row>
    <row r="15" customFormat="false" ht="15" hidden="false" customHeight="false" outlineLevel="0" collapsed="false">
      <c r="A15" s="3" t="s">
        <v>16</v>
      </c>
      <c r="B15" s="4" t="n">
        <v>150</v>
      </c>
    </row>
    <row r="17" customFormat="false" ht="15" hidden="false" customHeight="false" outlineLevel="0" collapsed="false">
      <c r="A17" s="1" t="s">
        <v>17</v>
      </c>
      <c r="B17" s="1"/>
      <c r="C17" s="1"/>
      <c r="D17" s="1"/>
      <c r="E17" s="1"/>
      <c r="F17" s="1"/>
    </row>
    <row r="18" customFormat="false" ht="15" hidden="false" customHeight="false" outlineLevel="0" collapsed="false">
      <c r="A18" s="2" t="s">
        <v>1</v>
      </c>
      <c r="B18" s="2" t="s">
        <v>2</v>
      </c>
      <c r="C18" s="2" t="s">
        <v>18</v>
      </c>
      <c r="D18" s="2" t="s">
        <v>4</v>
      </c>
      <c r="E18" s="2"/>
      <c r="F18" s="2"/>
    </row>
    <row r="19" customFormat="false" ht="15" hidden="false" customHeight="false" outlineLevel="0" collapsed="false">
      <c r="A19" s="3" t="s">
        <v>19</v>
      </c>
      <c r="B19" s="4" t="n">
        <v>7700</v>
      </c>
      <c r="C19" s="4" t="n">
        <v>2600</v>
      </c>
      <c r="D19" s="6" t="s">
        <v>20</v>
      </c>
    </row>
    <row r="20" customFormat="false" ht="15" hidden="false" customHeight="false" outlineLevel="0" collapsed="false">
      <c r="A20" s="3" t="s">
        <v>21</v>
      </c>
      <c r="B20" s="4" t="n">
        <v>5000</v>
      </c>
      <c r="C20" s="4" t="n">
        <v>1900</v>
      </c>
      <c r="D20" s="6" t="s">
        <v>20</v>
      </c>
    </row>
    <row r="22" customFormat="false" ht="15" hidden="false" customHeight="false" outlineLevel="0" collapsed="false">
      <c r="A22" s="1" t="s">
        <v>22</v>
      </c>
      <c r="B22" s="1"/>
      <c r="C22" s="1"/>
      <c r="D22" s="1"/>
      <c r="E22" s="1"/>
      <c r="F22" s="1"/>
    </row>
    <row r="23" customFormat="false" ht="15" hidden="false" customHeight="false" outlineLevel="0" collapsed="false">
      <c r="A23" s="2" t="s">
        <v>1</v>
      </c>
      <c r="B23" s="2" t="s">
        <v>2</v>
      </c>
      <c r="C23" s="2" t="s">
        <v>23</v>
      </c>
      <c r="D23" s="2"/>
      <c r="E23" s="2"/>
      <c r="F23" s="2"/>
    </row>
    <row r="24" customFormat="false" ht="15" hidden="false" customHeight="false" outlineLevel="0" collapsed="false">
      <c r="A24" s="3" t="s">
        <v>24</v>
      </c>
      <c r="B24" s="4" t="n">
        <v>600</v>
      </c>
      <c r="C24" s="6" t="s">
        <v>6</v>
      </c>
    </row>
    <row r="25" customFormat="false" ht="15" hidden="false" customHeight="false" outlineLevel="0" collapsed="false">
      <c r="A25" s="3" t="s">
        <v>25</v>
      </c>
      <c r="B25" s="4" t="n">
        <v>305</v>
      </c>
      <c r="C25" s="6" t="s">
        <v>20</v>
      </c>
    </row>
    <row r="27" customFormat="false" ht="15" hidden="false" customHeight="false" outlineLevel="0" collapsed="false">
      <c r="A27" s="1" t="s">
        <v>26</v>
      </c>
      <c r="B27" s="1"/>
      <c r="C27" s="1"/>
    </row>
    <row r="28" customFormat="false" ht="15" hidden="false" customHeight="false" outlineLevel="0" collapsed="false">
      <c r="A28" s="2" t="s">
        <v>27</v>
      </c>
      <c r="B28" s="2" t="s">
        <v>28</v>
      </c>
      <c r="C28" s="2"/>
    </row>
    <row r="29" customFormat="false" ht="15" hidden="false" customHeight="false" outlineLevel="0" collapsed="false">
      <c r="A29" s="3" t="s">
        <v>29</v>
      </c>
      <c r="B29" s="7" t="n">
        <v>0.4</v>
      </c>
    </row>
    <row r="30" customFormat="false" ht="15" hidden="false" customHeight="false" outlineLevel="0" collapsed="false">
      <c r="A30" s="3" t="s">
        <v>30</v>
      </c>
      <c r="B30" s="7" t="n">
        <v>0.36</v>
      </c>
    </row>
    <row r="31" customFormat="false" ht="15" hidden="false" customHeight="false" outlineLevel="0" collapsed="false">
      <c r="A31" s="3" t="s">
        <v>31</v>
      </c>
      <c r="B31" s="7" t="n">
        <v>0.5</v>
      </c>
    </row>
    <row r="32" customFormat="false" ht="15" hidden="false" customHeight="false" outlineLevel="0" collapsed="false">
      <c r="A32" s="3" t="s">
        <v>32</v>
      </c>
      <c r="B32" s="7" t="n">
        <v>0.3</v>
      </c>
    </row>
    <row r="33" customFormat="false" ht="15" hidden="false" customHeight="false" outlineLevel="0" collapsed="false">
      <c r="A33" s="3" t="s">
        <v>33</v>
      </c>
      <c r="B33" s="7" t="n">
        <v>0.65</v>
      </c>
    </row>
    <row r="35" customFormat="false" ht="15" hidden="false" customHeight="false" outlineLevel="0" collapsed="false">
      <c r="A35" s="1" t="s">
        <v>34</v>
      </c>
      <c r="B35" s="1"/>
      <c r="C35" s="1"/>
    </row>
    <row r="36" customFormat="false" ht="15" hidden="false" customHeight="false" outlineLevel="0" collapsed="false">
      <c r="A36" s="2" t="s">
        <v>35</v>
      </c>
      <c r="B36" s="2" t="s">
        <v>36</v>
      </c>
      <c r="C36" s="2" t="s">
        <v>37</v>
      </c>
    </row>
    <row r="37" customFormat="false" ht="15" hidden="false" customHeight="false" outlineLevel="0" collapsed="false">
      <c r="A37" s="3" t="s">
        <v>38</v>
      </c>
      <c r="B37" s="4" t="n">
        <v>0</v>
      </c>
      <c r="C37" s="8" t="n">
        <v>0</v>
      </c>
    </row>
    <row r="38" customFormat="false" ht="15" hidden="false" customHeight="false" outlineLevel="0" collapsed="false">
      <c r="A38" s="3" t="s">
        <v>39</v>
      </c>
      <c r="B38" s="4" t="n">
        <v>0</v>
      </c>
      <c r="C38" s="8" t="n">
        <v>0.35</v>
      </c>
    </row>
    <row r="39" customFormat="false" ht="15" hidden="false" customHeight="false" outlineLevel="0" collapsed="false">
      <c r="A39" s="3" t="s">
        <v>40</v>
      </c>
      <c r="B39" s="4" t="n">
        <v>3500</v>
      </c>
      <c r="C39" s="8" t="n">
        <v>0.8</v>
      </c>
    </row>
    <row r="40" customFormat="false" ht="15" hidden="false" customHeight="false" outlineLevel="0" collapsed="false">
      <c r="A40" s="3" t="s">
        <v>41</v>
      </c>
      <c r="B40" s="4" t="n">
        <v>0</v>
      </c>
      <c r="C40" s="8" t="n">
        <v>0.35</v>
      </c>
    </row>
    <row r="41" customFormat="false" ht="15" hidden="false" customHeight="false" outlineLevel="0" collapsed="false">
      <c r="A41" s="3" t="s">
        <v>42</v>
      </c>
      <c r="B41" s="4" t="n">
        <v>0</v>
      </c>
      <c r="C41" s="8" t="n">
        <v>0.35</v>
      </c>
    </row>
    <row r="43" customFormat="false" ht="15" hidden="false" customHeight="false" outlineLevel="0" collapsed="false">
      <c r="A43" s="1" t="s">
        <v>43</v>
      </c>
      <c r="B43" s="1"/>
    </row>
    <row r="44" customFormat="false" ht="15" hidden="false" customHeight="false" outlineLevel="0" collapsed="false">
      <c r="A44" s="2" t="s">
        <v>44</v>
      </c>
      <c r="B44" s="2" t="s">
        <v>37</v>
      </c>
    </row>
    <row r="45" customFormat="false" ht="15" hidden="false" customHeight="false" outlineLevel="0" collapsed="false">
      <c r="A45" s="3" t="s">
        <v>45</v>
      </c>
      <c r="B45" s="8" t="n">
        <v>0</v>
      </c>
    </row>
    <row r="46" customFormat="false" ht="15" hidden="false" customHeight="false" outlineLevel="0" collapsed="false">
      <c r="A46" s="3" t="s">
        <v>46</v>
      </c>
      <c r="B46" s="8" t="n">
        <v>0.05</v>
      </c>
    </row>
    <row r="47" customFormat="false" ht="15" hidden="false" customHeight="false" outlineLevel="0" collapsed="false">
      <c r="A47" s="3" t="s">
        <v>47</v>
      </c>
      <c r="B47" s="8" t="n">
        <v>0.83</v>
      </c>
    </row>
    <row r="49" customFormat="false" ht="15" hidden="false" customHeight="false" outlineLevel="0" collapsed="false">
      <c r="A49" s="1" t="s">
        <v>48</v>
      </c>
      <c r="B49" s="1"/>
    </row>
    <row r="50" customFormat="false" ht="15" hidden="false" customHeight="false" outlineLevel="0" collapsed="false">
      <c r="A50" s="2" t="s">
        <v>49</v>
      </c>
      <c r="B50" s="2" t="s">
        <v>37</v>
      </c>
    </row>
    <row r="51" customFormat="false" ht="15" hidden="false" customHeight="false" outlineLevel="0" collapsed="false">
      <c r="A51" s="3" t="s">
        <v>50</v>
      </c>
      <c r="B51" s="8" t="n">
        <v>0</v>
      </c>
    </row>
    <row r="52" customFormat="false" ht="15" hidden="false" customHeight="false" outlineLevel="0" collapsed="false">
      <c r="A52" s="3" t="s">
        <v>51</v>
      </c>
      <c r="B52" s="8" t="n">
        <v>0.35</v>
      </c>
    </row>
    <row r="53" customFormat="false" ht="15" hidden="false" customHeight="false" outlineLevel="0" collapsed="false">
      <c r="A53" s="3" t="s">
        <v>52</v>
      </c>
      <c r="B53" s="8" t="n">
        <v>0.5</v>
      </c>
    </row>
    <row r="55" customFormat="false" ht="15" hidden="false" customHeight="false" outlineLevel="0" collapsed="false">
      <c r="A55" s="1" t="s">
        <v>53</v>
      </c>
      <c r="B55" s="1"/>
      <c r="C55" s="1"/>
    </row>
    <row r="56" customFormat="false" ht="15" hidden="false" customHeight="false" outlineLevel="0" collapsed="false">
      <c r="A56" s="2" t="s">
        <v>54</v>
      </c>
      <c r="B56" s="2" t="s">
        <v>55</v>
      </c>
      <c r="C56" s="2" t="s">
        <v>56</v>
      </c>
    </row>
    <row r="57" customFormat="false" ht="15" hidden="false" customHeight="false" outlineLevel="0" collapsed="false">
      <c r="A57" s="6" t="s">
        <v>57</v>
      </c>
      <c r="B57" s="8" t="n">
        <v>0.15</v>
      </c>
      <c r="C57" s="6" t="s">
        <v>58</v>
      </c>
    </row>
    <row r="58" customFormat="false" ht="15" hidden="false" customHeight="false" outlineLevel="0" collapsed="false">
      <c r="A58" s="6" t="s">
        <v>59</v>
      </c>
      <c r="B58" s="8" t="n">
        <v>0.15</v>
      </c>
      <c r="C58" s="6" t="s">
        <v>58</v>
      </c>
    </row>
    <row r="59" customFormat="false" ht="15" hidden="false" customHeight="false" outlineLevel="0" collapsed="false">
      <c r="A59" s="6" t="s">
        <v>18</v>
      </c>
      <c r="B59" s="8" t="n">
        <v>0.55</v>
      </c>
      <c r="C59" s="6" t="s">
        <v>58</v>
      </c>
    </row>
    <row r="60" customFormat="false" ht="15" hidden="false" customHeight="false" outlineLevel="0" collapsed="false">
      <c r="A60" s="6" t="s">
        <v>60</v>
      </c>
      <c r="B60" s="4" t="n">
        <v>300</v>
      </c>
      <c r="C60" s="6" t="s">
        <v>61</v>
      </c>
    </row>
    <row r="61" customFormat="false" ht="15" hidden="false" customHeight="false" outlineLevel="0" collapsed="false">
      <c r="A61" s="6" t="s">
        <v>62</v>
      </c>
      <c r="B61" s="8" t="n">
        <v>0.1</v>
      </c>
      <c r="C61" s="6" t="s">
        <v>58</v>
      </c>
    </row>
    <row r="62" customFormat="false" ht="15" hidden="false" customHeight="false" outlineLevel="0" collapsed="false">
      <c r="A62" s="6" t="s">
        <v>63</v>
      </c>
      <c r="B62" s="4" t="n">
        <v>100</v>
      </c>
      <c r="C62" s="6" t="s">
        <v>61</v>
      </c>
    </row>
    <row r="63" customFormat="false" ht="15" hidden="false" customHeight="false" outlineLevel="0" collapsed="false">
      <c r="A63" s="6" t="s">
        <v>64</v>
      </c>
      <c r="B63" s="8" t="n">
        <v>0.05</v>
      </c>
      <c r="C63" s="6" t="s">
        <v>65</v>
      </c>
    </row>
    <row r="64" customFormat="false" ht="15" hidden="false" customHeight="false" outlineLevel="0" collapsed="false">
      <c r="A64" s="6" t="s">
        <v>66</v>
      </c>
      <c r="B64" s="8" t="n">
        <v>0.01</v>
      </c>
      <c r="C64" s="6" t="s">
        <v>58</v>
      </c>
    </row>
    <row r="65" customFormat="false" ht="15" hidden="false" customHeight="false" outlineLevel="0" collapsed="false">
      <c r="A65" s="6" t="s">
        <v>67</v>
      </c>
      <c r="B65" s="4" t="n">
        <v>1000</v>
      </c>
      <c r="C65" s="6" t="s">
        <v>61</v>
      </c>
    </row>
    <row r="66" customFormat="false" ht="15" hidden="false" customHeight="false" outlineLevel="0" collapsed="false">
      <c r="A66" s="6" t="s">
        <v>68</v>
      </c>
      <c r="B66" s="4" t="n">
        <v>350</v>
      </c>
      <c r="C66" s="6" t="s">
        <v>61</v>
      </c>
    </row>
    <row r="67" customFormat="false" ht="15" hidden="false" customHeight="false" outlineLevel="0" collapsed="false">
      <c r="A67" s="6" t="s">
        <v>69</v>
      </c>
      <c r="B67" s="4" t="n">
        <v>500</v>
      </c>
      <c r="C67" s="6" t="s">
        <v>61</v>
      </c>
    </row>
    <row r="68" customFormat="false" ht="15" hidden="false" customHeight="false" outlineLevel="0" collapsed="false">
      <c r="A68" s="6" t="s">
        <v>70</v>
      </c>
      <c r="B68" s="4" t="n">
        <v>200</v>
      </c>
      <c r="C68" s="6" t="s">
        <v>61</v>
      </c>
    </row>
    <row r="70" customFormat="false" ht="15" hidden="false" customHeight="false" outlineLevel="0" collapsed="false">
      <c r="A70" s="1" t="s">
        <v>71</v>
      </c>
      <c r="B70" s="1"/>
      <c r="C70" s="1"/>
    </row>
    <row r="71" customFormat="false" ht="15" hidden="false" customHeight="false" outlineLevel="0" collapsed="false">
      <c r="A71" s="2" t="s">
        <v>72</v>
      </c>
      <c r="B71" s="2" t="s">
        <v>73</v>
      </c>
      <c r="C71" s="2" t="s">
        <v>74</v>
      </c>
    </row>
    <row r="72" customFormat="false" ht="15" hidden="false" customHeight="false" outlineLevel="0" collapsed="false">
      <c r="A72" s="6" t="s">
        <v>75</v>
      </c>
      <c r="B72" s="9" t="n">
        <v>1.4285714</v>
      </c>
      <c r="C72" s="6" t="s">
        <v>76</v>
      </c>
    </row>
    <row r="73" customFormat="false" ht="15" hidden="false" customHeight="false" outlineLevel="0" collapsed="false">
      <c r="A73" s="6" t="s">
        <v>77</v>
      </c>
      <c r="B73" s="8" t="n">
        <v>0.1098901</v>
      </c>
      <c r="C73" s="6" t="s">
        <v>78</v>
      </c>
    </row>
    <row r="74" customFormat="false" ht="15" hidden="false" customHeight="false" outlineLevel="0" collapsed="false">
      <c r="A74" s="6" t="s">
        <v>79</v>
      </c>
      <c r="B74" s="8" t="n">
        <v>-0.0952381</v>
      </c>
      <c r="C74" s="6" t="s">
        <v>80</v>
      </c>
    </row>
    <row r="75" customFormat="false" ht="15" hidden="false" customHeight="false" outlineLevel="0" collapsed="false">
      <c r="A75" s="6" t="s">
        <v>81</v>
      </c>
      <c r="B75" s="8" t="n">
        <v>0.3</v>
      </c>
      <c r="C75" s="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F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true" outlineLevel="0" max="6" min="6" style="0" width="2"/>
  </cols>
  <sheetData>
    <row r="1" customFormat="false" ht="15" hidden="false" customHeight="false" outlineLevel="0" collapsed="false">
      <c r="A1" s="10" t="s">
        <v>83</v>
      </c>
      <c r="B1" s="10"/>
      <c r="C1" s="10"/>
      <c r="D1" s="10"/>
      <c r="E1" s="10"/>
    </row>
    <row r="3" customFormat="false" ht="15" hidden="false" customHeight="false" outlineLevel="0" collapsed="false">
      <c r="A3" s="1" t="s">
        <v>84</v>
      </c>
      <c r="B3" s="1"/>
      <c r="C3" s="1"/>
      <c r="D3" s="1"/>
      <c r="E3" s="1"/>
    </row>
    <row r="4" customFormat="false" ht="15" hidden="false" customHeight="false" outlineLevel="0" collapsed="false">
      <c r="A4" s="2"/>
      <c r="B4" s="2" t="s">
        <v>85</v>
      </c>
      <c r="C4" s="2" t="s">
        <v>86</v>
      </c>
      <c r="D4" s="2" t="s">
        <v>87</v>
      </c>
      <c r="E4" s="2" t="s">
        <v>88</v>
      </c>
    </row>
    <row r="5" customFormat="false" ht="15" hidden="false" customHeight="false" outlineLevel="0" collapsed="false">
      <c r="A5" s="11" t="s">
        <v>89</v>
      </c>
      <c r="B5" s="12" t="s">
        <v>5</v>
      </c>
      <c r="C5" s="5" t="n">
        <v>0</v>
      </c>
      <c r="D5" s="13" t="n">
        <f aca="false">VLOOKUP(B5,'Costs &amp; Prices'!A3:B5,2,FALSE())</f>
        <v>305</v>
      </c>
      <c r="E5" s="13" t="n">
        <f aca="false">C5*D5</f>
        <v>0</v>
      </c>
      <c r="F5" s="6" t="n">
        <f aca="false">VLOOKUP(B5,'Costs &amp; Prices'!A3:C5,3,FALSE())</f>
        <v>440</v>
      </c>
    </row>
    <row r="6" customFormat="false" ht="15" hidden="false" customHeight="false" outlineLevel="0" collapsed="false">
      <c r="A6" s="14" t="s">
        <v>90</v>
      </c>
      <c r="B6" s="12" t="s">
        <v>91</v>
      </c>
      <c r="C6" s="5" t="n">
        <v>0</v>
      </c>
      <c r="D6" s="13" t="n">
        <f aca="false">IF(B6="(none)",0,VLOOKUP(B6,'Costs &amp; Prices'!A3:B5,2,FALSE()))</f>
        <v>0</v>
      </c>
      <c r="E6" s="13" t="n">
        <f aca="false">C6*D6</f>
        <v>0</v>
      </c>
      <c r="F6" s="6" t="n">
        <f aca="false">IF(B6="(none)",0,VLOOKUP(B6,'Costs &amp; Prices'!A3:C5,3,FALSE()))</f>
        <v>0</v>
      </c>
    </row>
    <row r="7" customFormat="false" ht="15" hidden="false" customHeight="false" outlineLevel="0" collapsed="false">
      <c r="A7" s="15" t="s">
        <v>92</v>
      </c>
      <c r="B7" s="12" t="s">
        <v>10</v>
      </c>
      <c r="C7" s="5" t="n">
        <v>0</v>
      </c>
      <c r="D7" s="16" t="n">
        <f aca="false">VLOOKUP(B7,'Costs &amp; Prices'!A9:B15,2,FALSE())</f>
        <v>1200</v>
      </c>
      <c r="E7" s="16" t="n">
        <f aca="false">C7*D7</f>
        <v>0</v>
      </c>
    </row>
    <row r="8" customFormat="false" ht="15" hidden="false" customHeight="false" outlineLevel="0" collapsed="false">
      <c r="A8" s="6" t="s">
        <v>93</v>
      </c>
      <c r="B8" s="12" t="s">
        <v>91</v>
      </c>
      <c r="C8" s="5" t="n">
        <v>0</v>
      </c>
      <c r="D8" s="16" t="n">
        <f aca="false">IF(B8="(none)",0,VLOOKUP(B8,'Costs &amp; Prices'!A9:B15,2,FALSE()))</f>
        <v>0</v>
      </c>
      <c r="E8" s="16" t="n">
        <f aca="false">C8*D8</f>
        <v>0</v>
      </c>
    </row>
    <row r="9" customFormat="false" ht="15" hidden="false" customHeight="false" outlineLevel="0" collapsed="false">
      <c r="A9" s="17" t="s">
        <v>94</v>
      </c>
      <c r="B9" s="12" t="s">
        <v>91</v>
      </c>
      <c r="C9" s="5" t="n">
        <v>0</v>
      </c>
      <c r="D9" s="18" t="n">
        <f aca="false">IF(B9="(none)",0,VLOOKUP(B9,'Costs &amp; Prices'!A19:B20,2,FALSE()))</f>
        <v>0</v>
      </c>
      <c r="E9" s="18" t="n">
        <f aca="false">C9*D9</f>
        <v>0</v>
      </c>
      <c r="F9" s="6" t="n">
        <f aca="false">IF(B9="(none)",0,VLOOKUP(B9,'Costs &amp; Prices'!A19:C20,3,FALSE()))</f>
        <v>0</v>
      </c>
    </row>
    <row r="10" customFormat="false" ht="15" hidden="false" customHeight="false" outlineLevel="0" collapsed="false">
      <c r="A10" s="19" t="s">
        <v>95</v>
      </c>
      <c r="B10" s="12" t="s">
        <v>91</v>
      </c>
      <c r="C10" s="5" t="n">
        <v>0</v>
      </c>
      <c r="D10" s="18" t="n">
        <f aca="false">IF(B10="(none)",0,VLOOKUP(B10,'Costs &amp; Prices'!A19:B20,2,FALSE()))</f>
        <v>0</v>
      </c>
      <c r="E10" s="18" t="n">
        <f aca="false">C10*D10</f>
        <v>0</v>
      </c>
      <c r="F10" s="6" t="n">
        <f aca="false">IF(B10="(none)",0,VLOOKUP(B10,'Costs &amp; Prices'!A19:C20,3,FALSE()))</f>
        <v>0</v>
      </c>
    </row>
    <row r="11" customFormat="false" ht="15" hidden="false" customHeight="false" outlineLevel="0" collapsed="false">
      <c r="A11" s="6" t="s">
        <v>96</v>
      </c>
      <c r="B11" s="12" t="s">
        <v>6</v>
      </c>
      <c r="C11" s="5" t="n">
        <v>1</v>
      </c>
      <c r="D11" s="16" t="n">
        <f aca="false">'Costs &amp; Prices'!B24</f>
        <v>600</v>
      </c>
      <c r="E11" s="16" t="n">
        <f aca="false">IF(B11="Yes",C11*D11,0)</f>
        <v>0</v>
      </c>
    </row>
    <row r="13" customFormat="false" ht="15" hidden="false" customHeight="false" outlineLevel="0" collapsed="false">
      <c r="A13" s="1" t="s">
        <v>97</v>
      </c>
      <c r="B13" s="1"/>
      <c r="C13" s="1"/>
      <c r="D13" s="1"/>
      <c r="E13" s="1"/>
    </row>
    <row r="14" customFormat="false" ht="15" hidden="false" customHeight="false" outlineLevel="0" collapsed="false">
      <c r="A14" s="15" t="s">
        <v>98</v>
      </c>
      <c r="B14" s="12" t="s">
        <v>29</v>
      </c>
      <c r="C14" s="6" t="s">
        <v>99</v>
      </c>
      <c r="D14" s="20" t="n">
        <f aca="false">VLOOKUP(B14,'Costs &amp; Prices'!A29:B33,2,FALSE())</f>
        <v>0.4</v>
      </c>
    </row>
    <row r="15" customFormat="false" ht="15" hidden="false" customHeight="false" outlineLevel="0" collapsed="false">
      <c r="A15" s="15" t="s">
        <v>100</v>
      </c>
      <c r="B15" s="12" t="s">
        <v>38</v>
      </c>
      <c r="C15" s="6" t="s">
        <v>101</v>
      </c>
      <c r="D15" s="16" t="n">
        <f aca="false">VLOOKUP(B15,'Costs &amp; Prices'!A37:C41,2,FALSE())</f>
        <v>0</v>
      </c>
      <c r="E15" s="21" t="n">
        <f aca="false">VLOOKUP(B15,'Costs &amp; Prices'!A37:C41,3,FALSE())</f>
        <v>0</v>
      </c>
    </row>
    <row r="16" customFormat="false" ht="15" hidden="false" customHeight="false" outlineLevel="0" collapsed="false">
      <c r="A16" s="15" t="s">
        <v>102</v>
      </c>
      <c r="B16" s="12" t="s">
        <v>45</v>
      </c>
      <c r="C16" s="6" t="s">
        <v>103</v>
      </c>
      <c r="D16" s="21" t="n">
        <f aca="false">VLOOKUP(B16,'Costs &amp; Prices'!A45:B47,2,FALSE())</f>
        <v>0</v>
      </c>
    </row>
    <row r="17" customFormat="false" ht="15" hidden="false" customHeight="false" outlineLevel="0" collapsed="false">
      <c r="A17" s="15" t="s">
        <v>104</v>
      </c>
      <c r="B17" s="12" t="s">
        <v>50</v>
      </c>
      <c r="C17" s="6" t="s">
        <v>103</v>
      </c>
      <c r="D17" s="21" t="n">
        <f aca="false">VLOOKUP(B17,'Costs &amp; Prices'!A51:B53,2,FALSE())</f>
        <v>0</v>
      </c>
    </row>
    <row r="18" customFormat="false" ht="15" hidden="false" customHeight="false" outlineLevel="0" collapsed="false">
      <c r="A18" s="15" t="s">
        <v>105</v>
      </c>
      <c r="B18" s="12" t="s">
        <v>6</v>
      </c>
    </row>
    <row r="19" customFormat="false" ht="15" hidden="false" customHeight="false" outlineLevel="0" collapsed="false">
      <c r="A19" s="15" t="s">
        <v>106</v>
      </c>
      <c r="B19" s="12" t="s">
        <v>6</v>
      </c>
    </row>
    <row r="20" customFormat="false" ht="15" hidden="false" customHeight="false" outlineLevel="0" collapsed="false">
      <c r="A20" s="15" t="s">
        <v>107</v>
      </c>
      <c r="B20" s="4" t="n">
        <v>0</v>
      </c>
      <c r="C20" s="22" t="s">
        <v>108</v>
      </c>
    </row>
    <row r="22" customFormat="false" ht="15" hidden="false" customHeight="false" outlineLevel="0" collapsed="false">
      <c r="A22" s="1" t="s">
        <v>109</v>
      </c>
      <c r="B22" s="1"/>
      <c r="C22" s="1"/>
      <c r="D22" s="1"/>
      <c r="E22" s="1"/>
    </row>
    <row r="23" customFormat="false" ht="15" hidden="false" customHeight="false" outlineLevel="0" collapsed="false">
      <c r="A23" s="15" t="s">
        <v>110</v>
      </c>
      <c r="B23" s="23" t="n">
        <f aca="false">C5+C6</f>
        <v>0</v>
      </c>
    </row>
    <row r="24" customFormat="false" ht="15" hidden="false" customHeight="false" outlineLevel="0" collapsed="false">
      <c r="A24" s="15" t="s">
        <v>111</v>
      </c>
      <c r="B24" s="23" t="n">
        <f aca="false">C5*F5+C6*F6</f>
        <v>0</v>
      </c>
      <c r="C24" s="24" t="n">
        <f aca="false">B24/1000</f>
        <v>0</v>
      </c>
      <c r="D24" s="22" t="s">
        <v>112</v>
      </c>
    </row>
    <row r="25" customFormat="false" ht="15" hidden="false" customHeight="false" outlineLevel="0" collapsed="false">
      <c r="A25" s="15" t="s">
        <v>113</v>
      </c>
      <c r="B25" s="23" t="n">
        <f aca="false">C9+C10</f>
        <v>0</v>
      </c>
    </row>
    <row r="26" customFormat="false" ht="15" hidden="false" customHeight="false" outlineLevel="0" collapsed="false">
      <c r="A26" s="15" t="s">
        <v>114</v>
      </c>
      <c r="B26" s="6" t="str">
        <f aca="false">IF(AND(B23=0,B25&gt;0),"Yes","No")</f>
        <v>No</v>
      </c>
    </row>
    <row r="28" customFormat="false" ht="15" hidden="false" customHeight="false" outlineLevel="0" collapsed="false">
      <c r="A28" s="1" t="s">
        <v>115</v>
      </c>
      <c r="B28" s="1"/>
      <c r="C28" s="1"/>
      <c r="D28" s="1"/>
      <c r="E28" s="1"/>
    </row>
    <row r="29" customFormat="false" ht="15" hidden="false" customHeight="false" outlineLevel="0" collapsed="false">
      <c r="A29" s="6" t="s">
        <v>116</v>
      </c>
      <c r="E29" s="16" t="n">
        <f aca="false">E5+E6</f>
        <v>0</v>
      </c>
    </row>
    <row r="30" customFormat="false" ht="15" hidden="false" customHeight="false" outlineLevel="0" collapsed="false">
      <c r="A30" s="6" t="s">
        <v>117</v>
      </c>
      <c r="E30" s="16" t="n">
        <f aca="false">E7+E8</f>
        <v>0</v>
      </c>
    </row>
    <row r="31" customFormat="false" ht="15" hidden="false" customHeight="false" outlineLevel="0" collapsed="false">
      <c r="A31" s="6" t="s">
        <v>118</v>
      </c>
      <c r="E31" s="16" t="n">
        <f aca="false">E9+E10</f>
        <v>0</v>
      </c>
    </row>
    <row r="32" customFormat="false" ht="15" hidden="false" customHeight="false" outlineLevel="0" collapsed="false">
      <c r="A32" s="6" t="s">
        <v>119</v>
      </c>
      <c r="E32" s="16" t="n">
        <f aca="false">E11</f>
        <v>0</v>
      </c>
    </row>
    <row r="33" customFormat="false" ht="15" hidden="false" customHeight="false" outlineLevel="0" collapsed="false">
      <c r="A33" s="6" t="s">
        <v>70</v>
      </c>
      <c r="E33" s="16" t="n">
        <f aca="false">IF(OR(B26="Yes",B25&gt;=2),IF(B25&gt;0,'Costs &amp; Prices'!B68,0),0)</f>
        <v>0</v>
      </c>
    </row>
    <row r="34" customFormat="false" ht="15" hidden="false" customHeight="false" outlineLevel="0" collapsed="false">
      <c r="A34" s="6" t="s">
        <v>57</v>
      </c>
      <c r="E34" s="16" t="n">
        <f aca="false">B24*'Costs &amp; Prices'!B57</f>
        <v>0</v>
      </c>
    </row>
    <row r="35" customFormat="false" ht="15" hidden="false" customHeight="false" outlineLevel="0" collapsed="false">
      <c r="A35" s="6" t="s">
        <v>59</v>
      </c>
      <c r="E35" s="16" t="n">
        <f aca="false">B24*'Costs &amp; Prices'!B58</f>
        <v>0</v>
      </c>
    </row>
    <row r="36" customFormat="false" ht="15" hidden="false" customHeight="false" outlineLevel="0" collapsed="false">
      <c r="A36" s="15" t="s">
        <v>120</v>
      </c>
      <c r="E36" s="25" t="n">
        <f aca="false">SUM(E29:E35)</f>
        <v>0</v>
      </c>
    </row>
    <row r="38" customFormat="false" ht="15" hidden="false" customHeight="false" outlineLevel="0" collapsed="false">
      <c r="A38" s="6" t="s">
        <v>121</v>
      </c>
      <c r="E38" s="16" t="n">
        <f aca="false">D15+B24*E15</f>
        <v>0</v>
      </c>
    </row>
    <row r="39" customFormat="false" ht="15" hidden="false" customHeight="false" outlineLevel="0" collapsed="false">
      <c r="A39" s="6" t="s">
        <v>122</v>
      </c>
      <c r="E39" s="16" t="n">
        <f aca="false">B24*D16</f>
        <v>0</v>
      </c>
    </row>
    <row r="40" customFormat="false" ht="15" hidden="false" customHeight="false" outlineLevel="0" collapsed="false">
      <c r="A40" s="6" t="s">
        <v>123</v>
      </c>
      <c r="E40" s="16" t="n">
        <f aca="false">B24*D17</f>
        <v>0</v>
      </c>
    </row>
    <row r="41" customFormat="false" ht="15" hidden="false" customHeight="false" outlineLevel="0" collapsed="false">
      <c r="A41" s="15" t="s">
        <v>124</v>
      </c>
      <c r="E41" s="25" t="n">
        <f aca="false">SUM(E38:E40)</f>
        <v>0</v>
      </c>
    </row>
    <row r="43" customFormat="false" ht="15" hidden="false" customHeight="false" outlineLevel="0" collapsed="false">
      <c r="A43" s="6" t="s">
        <v>125</v>
      </c>
      <c r="E43" s="16" t="n">
        <f aca="false">B24*'Costs &amp; Prices'!B59</f>
        <v>0</v>
      </c>
    </row>
    <row r="44" customFormat="false" ht="15" hidden="false" customHeight="false" outlineLevel="0" collapsed="false">
      <c r="A44" s="6" t="s">
        <v>126</v>
      </c>
      <c r="E44" s="16" t="n">
        <f aca="false">C9*F9+C10*F10</f>
        <v>0</v>
      </c>
    </row>
    <row r="45" customFormat="false" ht="15" hidden="false" customHeight="false" outlineLevel="0" collapsed="false">
      <c r="A45" s="15" t="s">
        <v>127</v>
      </c>
      <c r="E45" s="25" t="n">
        <f aca="false">SUM(E43:E44)</f>
        <v>0</v>
      </c>
    </row>
    <row r="47" customFormat="false" ht="15" hidden="false" customHeight="false" outlineLevel="0" collapsed="false">
      <c r="A47" s="6" t="s">
        <v>128</v>
      </c>
      <c r="E47" s="16" t="n">
        <f aca="false">'Costs &amp; Prices'!B60+B24*'Costs &amp; Prices'!B61</f>
        <v>300</v>
      </c>
    </row>
    <row r="48" customFormat="false" ht="15" hidden="false" customHeight="false" outlineLevel="0" collapsed="false">
      <c r="A48" s="6" t="s">
        <v>63</v>
      </c>
      <c r="E48" s="16" t="n">
        <f aca="false">'Costs &amp; Prices'!B62</f>
        <v>100</v>
      </c>
    </row>
    <row r="49" customFormat="false" ht="15" hidden="false" customHeight="false" outlineLevel="0" collapsed="false">
      <c r="A49" s="6" t="s">
        <v>129</v>
      </c>
      <c r="E49" s="16" t="n">
        <f aca="false">(E36+E45)*'Costs &amp; Prices'!B63</f>
        <v>0</v>
      </c>
    </row>
    <row r="50" customFormat="false" ht="15" hidden="false" customHeight="false" outlineLevel="0" collapsed="false">
      <c r="A50" s="6" t="s">
        <v>66</v>
      </c>
      <c r="E50" s="16" t="n">
        <f aca="false">B24*'Costs &amp; Prices'!B64</f>
        <v>0</v>
      </c>
    </row>
    <row r="51" customFormat="false" ht="15" hidden="false" customHeight="false" outlineLevel="0" collapsed="false">
      <c r="A51" s="15" t="s">
        <v>130</v>
      </c>
      <c r="E51" s="25" t="n">
        <f aca="false">SUM(E47:E50)</f>
        <v>400</v>
      </c>
    </row>
    <row r="53" customFormat="false" ht="15" hidden="false" customHeight="false" outlineLevel="0" collapsed="false">
      <c r="A53" s="15" t="s">
        <v>131</v>
      </c>
      <c r="E53" s="25" t="n">
        <f aca="false">'Costs &amp; Prices'!B65+'Costs &amp; Prices'!B66+'Costs &amp; Prices'!B67</f>
        <v>1850</v>
      </c>
    </row>
    <row r="55" customFormat="false" ht="15" hidden="false" customHeight="false" outlineLevel="0" collapsed="false">
      <c r="A55" s="26" t="s">
        <v>132</v>
      </c>
      <c r="B55" s="26"/>
      <c r="C55" s="26"/>
      <c r="D55" s="26"/>
      <c r="E55" s="27" t="n">
        <f aca="false">E36+E41+E45+E51+E53</f>
        <v>2250</v>
      </c>
    </row>
    <row r="56" customFormat="false" ht="15" hidden="false" customHeight="false" outlineLevel="0" collapsed="false">
      <c r="A56" s="26" t="s">
        <v>133</v>
      </c>
      <c r="B56" s="26"/>
      <c r="C56" s="26"/>
      <c r="D56" s="26"/>
      <c r="E56" s="27" t="n">
        <f aca="false">E55*(1+D14)</f>
        <v>3150</v>
      </c>
    </row>
    <row r="57" customFormat="false" ht="15" hidden="false" customHeight="false" outlineLevel="0" collapsed="false">
      <c r="A57" s="15" t="s">
        <v>134</v>
      </c>
      <c r="E57" s="25" t="n">
        <f aca="false">E56+B20</f>
        <v>3150</v>
      </c>
    </row>
    <row r="59" customFormat="false" ht="15" hidden="false" customHeight="false" outlineLevel="0" collapsed="false">
      <c r="A59" s="1" t="s">
        <v>135</v>
      </c>
      <c r="B59" s="1"/>
      <c r="C59" s="1"/>
      <c r="D59" s="1"/>
      <c r="E59" s="1"/>
    </row>
    <row r="60" customFormat="false" ht="15" hidden="false" customHeight="false" outlineLevel="0" collapsed="false">
      <c r="A60" s="15" t="s">
        <v>136</v>
      </c>
      <c r="B60" s="6" t="str">
        <f aca="false">IF(AND(B23&gt;0,B25&gt;0),"solar+battery",IF(B23&gt;0,"solar",IF(B25&gt;0,"battery","none")))</f>
        <v>none</v>
      </c>
    </row>
    <row r="61" customFormat="false" ht="15" hidden="false" customHeight="false" outlineLevel="0" collapsed="false">
      <c r="A61" s="15" t="s">
        <v>137</v>
      </c>
      <c r="B61" s="6" t="str">
        <f aca="false">IF(B23=0,"No",IF(AND(IF(C5&gt;0,VLOOKUP(B5,'Costs &amp; Prices'!A3:D5,4,FALSE())="Yes",TRUE()),IF(C6&gt;0,VLOOKUP(B6,'Costs &amp; Prices'!A3:D5,4,FALSE())="Yes",TRUE())),"Yes","No"))</f>
        <v>No</v>
      </c>
    </row>
    <row r="62" customFormat="false" ht="15" hidden="false" customHeight="false" outlineLevel="0" collapsed="false">
      <c r="A62" s="15" t="s">
        <v>138</v>
      </c>
      <c r="B62" s="6" t="str">
        <f aca="false">IF(B25=0,"No",IF(AND(IF(C9&gt;0,VLOOKUP(B9,'Costs &amp; Prices'!A19:D20,4,FALSE())="Yes",TRUE()),IF(C10&gt;0,VLOOKUP(B10,'Costs &amp; Prices'!A19:D20,4,FALSE())="Yes",TRUE())),"Yes","No"))</f>
        <v>No</v>
      </c>
    </row>
    <row r="63" customFormat="false" ht="15" hidden="false" customHeight="false" outlineLevel="0" collapsed="false">
      <c r="A63" s="15" t="s">
        <v>139</v>
      </c>
      <c r="B63" s="28" t="n">
        <f aca="false">IF(B18&lt;&gt;"Yes",0,IF(B60="solar+battery",IF(AND(B61="Yes",B62="Yes"),'Costs &amp; Prices'!B73,IF(OR(B61="Yes",B62="Yes",B19="Yes"),0,'Costs &amp; Prices'!B74)),IF(B60="solar",IF(B61="Yes",'Costs &amp; Prices'!B73,IF(B19="Yes",0,'Costs &amp; Prices'!B74)),IF(B60="battery",IF(B62="Yes",'Costs &amp; Prices'!B73,IF(B19="Yes",0,'Costs &amp; Prices'!B74)),0))))</f>
        <v>0</v>
      </c>
    </row>
    <row r="64" customFormat="false" ht="15" hidden="false" customHeight="false" outlineLevel="0" collapsed="false">
      <c r="A64" s="26" t="s">
        <v>140</v>
      </c>
      <c r="B64" s="29" t="n">
        <f aca="false">'Costs &amp; Prices'!B72+B63</f>
        <v>1.4285714</v>
      </c>
      <c r="C64" s="26"/>
      <c r="D64" s="26"/>
      <c r="E64" s="26"/>
    </row>
    <row r="66" customFormat="false" ht="15" hidden="false" customHeight="false" outlineLevel="0" collapsed="false">
      <c r="A66" s="26" t="s">
        <v>141</v>
      </c>
      <c r="B66" s="26"/>
      <c r="C66" s="26"/>
      <c r="D66" s="26"/>
      <c r="E66" s="30" t="n">
        <f aca="false">E57</f>
        <v>3150</v>
      </c>
    </row>
    <row r="67" customFormat="false" ht="15" hidden="false" customHeight="false" outlineLevel="0" collapsed="false">
      <c r="A67" s="17" t="s">
        <v>142</v>
      </c>
      <c r="B67" s="17"/>
      <c r="C67" s="17"/>
      <c r="D67" s="17"/>
      <c r="E67" s="31" t="n">
        <f aca="false">IF(B18="Yes",E66*(1-'Costs &amp; Prices'!B75),E66)</f>
        <v>3150</v>
      </c>
    </row>
    <row r="68" customFormat="false" ht="15" hidden="false" customHeight="false" outlineLevel="0" collapsed="false">
      <c r="A68" s="15" t="s">
        <v>143</v>
      </c>
      <c r="E68" s="32" t="n">
        <f aca="false">IF(B18="Yes",E66-(E66/B64),0)</f>
        <v>0</v>
      </c>
    </row>
    <row r="69" customFormat="false" ht="15" hidden="false" customHeight="false" outlineLevel="0" collapsed="false">
      <c r="A69" s="6" t="s">
        <v>144</v>
      </c>
      <c r="E69" s="33" t="n">
        <f aca="false">E68*(2/3)</f>
        <v>0</v>
      </c>
    </row>
    <row r="70" customFormat="false" ht="15" hidden="false" customHeight="false" outlineLevel="0" collapsed="false">
      <c r="A70" s="6" t="s">
        <v>145</v>
      </c>
      <c r="E70" s="33" t="n">
        <f aca="false">E68*(1/3)</f>
        <v>0</v>
      </c>
    </row>
    <row r="71" customFormat="false" ht="15" hidden="false" customHeight="false" outlineLevel="0" collapsed="false">
      <c r="A71" s="26" t="s">
        <v>146</v>
      </c>
      <c r="B71" s="26"/>
      <c r="C71" s="26"/>
      <c r="D71" s="26"/>
      <c r="E71" s="30" t="n">
        <f aca="false">IF(B18="Yes",E67+E68,E67)</f>
        <v>3150</v>
      </c>
    </row>
  </sheetData>
  <mergeCells count="1">
    <mergeCell ref="A1:E1"/>
  </mergeCells>
  <dataValidations count="10">
    <dataValidation allowBlank="false" errorStyle="stop" operator="between" showDropDown="false" showErrorMessage="false" showInputMessage="false" sqref="B5" type="list">
      <formula1>'Costs &amp; Prices'!$A$3:$A$5</formula1>
      <formula2>0</formula2>
    </dataValidation>
    <dataValidation allowBlank="false" errorStyle="stop" operator="between" showDropDown="false" showErrorMessage="false" showInputMessage="false" sqref="B6" type="list">
      <formula1>"(none),Hyundai 440W (Black),Silfab 440W (Black/Gold),Silfab 430W (Black/Gold)"</formula1>
      <formula2>0</formula2>
    </dataValidation>
    <dataValidation allowBlank="false" errorStyle="stop" operator="between" showDropDown="false" showErrorMessage="false" showInputMessage="false" sqref="B7" type="list">
      <formula1>'Costs &amp; Prices'!$A$9:$A$15</formula1>
      <formula2>0</formula2>
    </dataValidation>
    <dataValidation allowBlank="false" errorStyle="stop" operator="between" showDropDown="false" showErrorMessage="false" showInputMessage="false" sqref="B8" type="list">
      <formula1>"(none),Tesla 7.6kW Inverter,Tesla 5.0kW Inverter,Tesla 3.8kW Inverter,Enphase IQ8MC Micro,Enphase IQ8X Micro,Enphase IQ8A Micro,Enphase IQ8M Micro"</formula1>
      <formula2>0</formula2>
    </dataValidation>
    <dataValidation allowBlank="false" errorStyle="stop" operator="between" showDropDown="false" showErrorMessage="false" showInputMessage="false" sqref="B9:B10" type="list">
      <formula1>"(none),Tesla Powerwall 3,PW3 Expansion Pack"</formula1>
      <formula2>0</formula2>
    </dataValidation>
    <dataValidation allowBlank="false" errorStyle="stop" operator="between" showDropDown="false" showErrorMessage="false" showInputMessage="false" sqref="B11 B18:B19" type="list">
      <formula1>"Yes,No"</formula1>
      <formula2>0</formula2>
    </dataValidation>
    <dataValidation allowBlank="false" errorStyle="stop" operator="between" showDropDown="false" showErrorMessage="false" showInputMessage="false" sqref="B14" type="list">
      <formula1>'Costs &amp; Prices'!$A$29:$A$33</formula1>
      <formula2>0</formula2>
    </dataValidation>
    <dataValidation allowBlank="false" errorStyle="stop" operator="between" showDropDown="false" showErrorMessage="false" showInputMessage="false" sqref="B15" type="list">
      <formula1>'Costs &amp; Prices'!$A$37:$A$41</formula1>
      <formula2>0</formula2>
    </dataValidation>
    <dataValidation allowBlank="false" errorStyle="stop" operator="between" showDropDown="false" showErrorMessage="false" showInputMessage="false" sqref="B16" type="list">
      <formula1>'Costs &amp; Prices'!$A$45:$A$47</formula1>
      <formula2>0</formula2>
    </dataValidation>
    <dataValidation allowBlank="false" errorStyle="stop" operator="between" showDropDown="false" showErrorMessage="false" showInputMessage="false" sqref="B17" type="list">
      <formula1>'Costs &amp; Prices'!$A$51:$A$53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2026-03-25T19:19:50Z</dcterms:created>
  <dc:creator>openpyxl</dc:creator>
  <dc:description/>
  <dc:language>en-US</dc:language>
  <cp:lastModifiedBy/>
  <dcterms:modified xsi:type="dcterms:W3CDTF">2026-03-25T19:19:50Z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